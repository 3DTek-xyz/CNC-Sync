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s\OneDrive\Desktop\builder price List\"/>
    </mc:Choice>
  </mc:AlternateContent>
  <xr:revisionPtr revIDLastSave="0" documentId="13_ncr:1_{8B1048A9-65D3-42E4-97FA-312CD3561AC2}" xr6:coauthVersionLast="47" xr6:coauthVersionMax="47" xr10:uidLastSave="{00000000-0000-0000-0000-000000000000}"/>
  <bookViews>
    <workbookView xWindow="-132" yWindow="-132" windowWidth="23304" windowHeight="12504" xr2:uid="{7A653A2F-AF8E-4967-B615-E8EE85C0822D}"/>
  </bookViews>
  <sheets>
    <sheet name="PRICE LIST" sheetId="1" r:id="rId1"/>
    <sheet name="TRAVEL R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7" i="1" l="1"/>
  <c r="G156" i="1"/>
  <c r="G91" i="1" l="1"/>
  <c r="G89" i="1"/>
  <c r="G86" i="1"/>
  <c r="G137" i="1" l="1"/>
  <c r="G115" i="1" l="1"/>
  <c r="G117" i="1" l="1"/>
  <c r="G161" i="1" l="1"/>
  <c r="G177" i="1"/>
  <c r="G9" i="1"/>
  <c r="G176" i="1" l="1"/>
  <c r="G175" i="1"/>
  <c r="G174" i="1"/>
  <c r="G171" i="1"/>
  <c r="G170" i="1"/>
  <c r="G169" i="1"/>
  <c r="G168" i="1"/>
  <c r="G167" i="1"/>
  <c r="G166" i="1"/>
  <c r="G165" i="1"/>
  <c r="G107" i="1" l="1"/>
  <c r="G100" i="1"/>
  <c r="G105" i="1"/>
  <c r="G96" i="1"/>
  <c r="G104" i="1"/>
  <c r="G133" i="1" l="1"/>
  <c r="G132" i="1"/>
  <c r="G131" i="1"/>
  <c r="G130" i="1"/>
  <c r="G129" i="1"/>
  <c r="G128" i="1"/>
  <c r="G127" i="1"/>
  <c r="G126" i="1"/>
  <c r="G125" i="1"/>
  <c r="G98" i="1"/>
  <c r="G99" i="1"/>
  <c r="G114" i="1"/>
  <c r="G113" i="1"/>
  <c r="G112" i="1"/>
  <c r="G141" i="1"/>
  <c r="G38" i="1" l="1"/>
  <c r="G54" i="1"/>
  <c r="G81" i="1"/>
  <c r="G97" i="1"/>
  <c r="G94" i="1"/>
  <c r="G95" i="1"/>
  <c r="G108" i="1"/>
  <c r="G106" i="1"/>
  <c r="G103" i="1"/>
  <c r="G102" i="1"/>
  <c r="G101" i="1"/>
  <c r="G93" i="1"/>
  <c r="G82" i="1"/>
  <c r="G80" i="1"/>
  <c r="G79" i="1"/>
  <c r="G78" i="1"/>
  <c r="G77" i="1"/>
  <c r="G76" i="1"/>
  <c r="G75" i="1"/>
  <c r="G55" i="1"/>
  <c r="G53" i="1"/>
  <c r="G52" i="1"/>
  <c r="G51" i="1"/>
  <c r="G50" i="1"/>
  <c r="G49" i="1"/>
  <c r="G48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45" i="1"/>
  <c r="G44" i="1"/>
  <c r="G43" i="1"/>
  <c r="G42" i="1"/>
  <c r="G41" i="1"/>
  <c r="G40" i="1"/>
  <c r="G39" i="1"/>
  <c r="G37" i="1"/>
  <c r="G36" i="1"/>
  <c r="G35" i="1"/>
  <c r="G34" i="1"/>
  <c r="G33" i="1"/>
  <c r="G32" i="1"/>
  <c r="G31" i="1"/>
  <c r="G153" i="1" l="1"/>
  <c r="G154" i="1"/>
  <c r="G155" i="1"/>
  <c r="G158" i="1"/>
  <c r="G159" i="1"/>
  <c r="G160" i="1"/>
  <c r="G152" i="1"/>
  <c r="G138" i="1"/>
  <c r="G139" i="1"/>
  <c r="G140" i="1"/>
  <c r="G142" i="1"/>
  <c r="G143" i="1"/>
  <c r="G144" i="1"/>
  <c r="G145" i="1"/>
  <c r="G146" i="1"/>
  <c r="G147" i="1"/>
  <c r="G148" i="1"/>
  <c r="G149" i="1"/>
  <c r="G136" i="1"/>
  <c r="G111" i="1"/>
  <c r="G116" i="1"/>
  <c r="G118" i="1"/>
  <c r="G119" i="1"/>
  <c r="G120" i="1"/>
  <c r="G121" i="1"/>
  <c r="G122" i="1"/>
  <c r="G87" i="1"/>
  <c r="G88" i="1"/>
  <c r="G90" i="1"/>
  <c r="G92" i="1"/>
  <c r="G85" i="1"/>
  <c r="G22" i="1"/>
  <c r="G23" i="1"/>
  <c r="G24" i="1"/>
  <c r="G25" i="1"/>
  <c r="G26" i="1"/>
  <c r="G27" i="1"/>
  <c r="G28" i="1"/>
  <c r="G21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4" i="1"/>
  <c r="G179" i="1" l="1"/>
  <c r="G180" i="1" s="1"/>
  <c r="G181" i="1" l="1"/>
</calcChain>
</file>

<file path=xl/sharedStrings.xml><?xml version="1.0" encoding="utf-8"?>
<sst xmlns="http://schemas.openxmlformats.org/spreadsheetml/2006/main" count="624" uniqueCount="266">
  <si>
    <t>WHITE MELAMINE</t>
  </si>
  <si>
    <t>PRODUCT</t>
  </si>
  <si>
    <t>DESCRIPTION</t>
  </si>
  <si>
    <t>PRICE</t>
  </si>
  <si>
    <t>UNIT</t>
  </si>
  <si>
    <t>Top Shelf</t>
  </si>
  <si>
    <t>White Hanging Rods, Back &amp; Front Cleats – 447 deep</t>
  </si>
  <si>
    <t>White Hanging Rods, Back &amp; Front Cleats – 600 deep</t>
  </si>
  <si>
    <t>Divider/Support</t>
  </si>
  <si>
    <t>Needed Where Top Shelf Is Greater Than 1500mm</t>
  </si>
  <si>
    <t>Linen Shelving/WIP</t>
  </si>
  <si>
    <t>Shelf Includes Back And Front Cleats</t>
  </si>
  <si>
    <t>458 Draw Unit - Standard</t>
  </si>
  <si>
    <t>4 Draws With White Handles Complete With 2 Adjustable Shelves</t>
  </si>
  <si>
    <t>608 Draw Unit - Standard</t>
  </si>
  <si>
    <t>0 – 457 Draw Unit - Custom</t>
  </si>
  <si>
    <t>459 – 607 Draw Unit - Custom</t>
  </si>
  <si>
    <t>609 – 1000 Draw Unit - Custom</t>
  </si>
  <si>
    <t>458 Draw Unit</t>
  </si>
  <si>
    <t>3 Draws With White Handles Complete With 2 Adjustable Shelves</t>
  </si>
  <si>
    <t>608 Draw Unit</t>
  </si>
  <si>
    <t>458 Row Of Shelves - Standard</t>
  </si>
  <si>
    <t>Complete With 4 Adjustable Shelves</t>
  </si>
  <si>
    <t>608 Row Of Shelves - Standard</t>
  </si>
  <si>
    <t>609 – 1000 Row Of Shelves - Custom</t>
  </si>
  <si>
    <t>Shoe Shelf</t>
  </si>
  <si>
    <t>WHITE</t>
  </si>
  <si>
    <t>458 Single Draw</t>
  </si>
  <si>
    <t>608 Single Draw</t>
  </si>
  <si>
    <t>609 – 1000mm Draw</t>
  </si>
  <si>
    <t>Bulk Head</t>
  </si>
  <si>
    <t>End Panel</t>
  </si>
  <si>
    <t>Single Shelf</t>
  </si>
  <si>
    <t>Hanging Rods</t>
  </si>
  <si>
    <t>Splay Cut Divider</t>
  </si>
  <si>
    <t>Chrome, Matt Silver, White, Cream, Black</t>
  </si>
  <si>
    <t>10mm Clear Toughened, All Hinges &amp; Brackets included in Chome</t>
  </si>
  <si>
    <t>Frameless Bath Panel</t>
  </si>
  <si>
    <t>1500 x 700</t>
  </si>
  <si>
    <t>Hobs</t>
  </si>
  <si>
    <t>45mm Wide</t>
  </si>
  <si>
    <t>Polished Edge Mirrors</t>
  </si>
  <si>
    <t>Bevelled Edge Mirrors</t>
  </si>
  <si>
    <t>Glass Shelves</t>
  </si>
  <si>
    <t>POLYTEC COLOUR MATT</t>
  </si>
  <si>
    <t>UPGRADES</t>
  </si>
  <si>
    <t>Frameless Shower Accessories – Hinges, Knob &amp; Bracket</t>
  </si>
  <si>
    <t>Frameless Shower Brace</t>
  </si>
  <si>
    <t>Polished Chrome, Black, White, Satin Nickel, Brushed Brass</t>
  </si>
  <si>
    <t>10mm Clear Toughened Includes Chrome Accessories</t>
  </si>
  <si>
    <t>Custom Sized Semi Frameless</t>
  </si>
  <si>
    <t>Greater Or Less Than 1950 Height, Custom Shape Or Walls Run Out Greater Than 8mm</t>
  </si>
  <si>
    <t>Custom Size Frameless Shower</t>
  </si>
  <si>
    <t>Custom Shape, Size Greater Or Less Than 2000mm Height</t>
  </si>
  <si>
    <t>Soft Close System - Draws</t>
  </si>
  <si>
    <t xml:space="preserve">Soft Close Hinged Door System </t>
  </si>
  <si>
    <t xml:space="preserve">Soft Close Door System </t>
  </si>
  <si>
    <t>Draw Handles</t>
  </si>
  <si>
    <t>Hinged Door Handles</t>
  </si>
  <si>
    <t>MIRROR UPGRADE</t>
  </si>
  <si>
    <t>Oval Pill Mirror</t>
  </si>
  <si>
    <t>Polished</t>
  </si>
  <si>
    <t>Round Mirror 600mm</t>
  </si>
  <si>
    <t>Round Mirror 750mm</t>
  </si>
  <si>
    <t>Round Mirror 900mm</t>
  </si>
  <si>
    <t xml:space="preserve">Gothic </t>
  </si>
  <si>
    <t>Clear Backing</t>
  </si>
  <si>
    <t>6mm Clear Glass Polished</t>
  </si>
  <si>
    <t xml:space="preserve">Oval Standard </t>
  </si>
  <si>
    <t>TOTAL</t>
  </si>
  <si>
    <t>GST</t>
  </si>
  <si>
    <t xml:space="preserve">TOTAL SUM </t>
  </si>
  <si>
    <t xml:space="preserve">6mm Clear Toughened Includes Supports </t>
  </si>
  <si>
    <t>Frameless Frosted/Etched Glass</t>
  </si>
  <si>
    <t>POLYTEC COLOUR WOODMATT</t>
  </si>
  <si>
    <t>L/M</t>
  </si>
  <si>
    <t>EACH</t>
  </si>
  <si>
    <t xml:space="preserve">Additional Hanging Besides Top Shelf </t>
  </si>
  <si>
    <t>Additional Top Complete Draws - Each Divider Extra</t>
  </si>
  <si>
    <t xml:space="preserve">Additonal Drawer </t>
  </si>
  <si>
    <t>Additional Drawer</t>
  </si>
  <si>
    <t>Can Be A Hat Shelf Or Any Single Shelf</t>
  </si>
  <si>
    <t>ADDITIONAL</t>
  </si>
  <si>
    <t xml:space="preserve">PER ROBE </t>
  </si>
  <si>
    <t>PER SHOWER</t>
  </si>
  <si>
    <t>SQM</t>
  </si>
  <si>
    <t>PER BRACE</t>
  </si>
  <si>
    <t xml:space="preserve">Soft Close System For Draws - Per Draw </t>
  </si>
  <si>
    <t>Soft Close System For Doors Upto 2400mm -  Per Door</t>
  </si>
  <si>
    <t>Soft Close System For Doors from 2400mm - Per Door</t>
  </si>
  <si>
    <t xml:space="preserve">Black, White, Satin Nickel, Brushed Brass - Per Drawer </t>
  </si>
  <si>
    <t>Black, White, Satin Nickel, Brushed Brass - Per Door</t>
  </si>
  <si>
    <t>Polished - 600 X 900</t>
  </si>
  <si>
    <t>6mm Clear Glass Polished - 600 X 900</t>
  </si>
  <si>
    <t>FILL IN BLUE PART ONLY</t>
  </si>
  <si>
    <t>MATT</t>
  </si>
  <si>
    <t>WOOD MATT</t>
  </si>
  <si>
    <t xml:space="preserve">Flat Panel </t>
  </si>
  <si>
    <t>Flat Panel With Routing</t>
  </si>
  <si>
    <t>Hinged Doors - Matt 2.4m - 2.7m high</t>
  </si>
  <si>
    <t>Hinged Doors - Wood Matt 2.4m - 2.7m high</t>
  </si>
  <si>
    <t>Sliding 18mm Mdf - Poly up to 2400 High</t>
  </si>
  <si>
    <t>Sliding 25mm Mdf - Poly up to 2700 High</t>
  </si>
  <si>
    <t xml:space="preserve">Polyurethane Painted Sliding Door Without Router </t>
  </si>
  <si>
    <t>PER DOOR</t>
  </si>
  <si>
    <t>Hinged Door - Poly up to 2.4m high</t>
  </si>
  <si>
    <t>Hinged Door - Matt up to 2.4m high</t>
  </si>
  <si>
    <t>Hinged Door - Wood Matt up to 2.4m high</t>
  </si>
  <si>
    <t xml:space="preserve">Hinged Door - White Melamine </t>
  </si>
  <si>
    <t xml:space="preserve">Bifold Door - White Melamine </t>
  </si>
  <si>
    <t xml:space="preserve">Flat Panel - Cannot Router </t>
  </si>
  <si>
    <t xml:space="preserve">SHOWERS &amp; MIRRORS </t>
  </si>
  <si>
    <t>WARDROBE DOORS</t>
  </si>
  <si>
    <t xml:space="preserve">1 X 300 X 477 Shelf &amp; 1 X 458 x 447 Shelf </t>
  </si>
  <si>
    <t>When Replaced With A Wall</t>
  </si>
  <si>
    <t xml:space="preserve">When Replaced With Gyprock Bulhead </t>
  </si>
  <si>
    <t xml:space="preserve">Complete With 4 Adjustable Shelves </t>
  </si>
  <si>
    <t>4 Draws With White Handles Complete With 2 Adjustable Shelves - Soft Close Included With Metal Sides</t>
  </si>
  <si>
    <t>Hanging Rods - Colour</t>
  </si>
  <si>
    <t xml:space="preserve">Radius/Arc On The Front Corner Of Shower </t>
  </si>
  <si>
    <t>Each</t>
  </si>
  <si>
    <t xml:space="preserve">Radius/Arc -  10mm Frameless </t>
  </si>
  <si>
    <t xml:space="preserve">Bifold Door - Matt </t>
  </si>
  <si>
    <t xml:space="preserve">Beading Around Door </t>
  </si>
  <si>
    <t xml:space="preserve">Beading </t>
  </si>
  <si>
    <t xml:space="preserve">When Replaced With Gyprock Bulkhead </t>
  </si>
  <si>
    <t xml:space="preserve">Black, Brushed Dark Brass, Brushed Gold, Gun Metal -  Per Rod </t>
  </si>
  <si>
    <t xml:space="preserve">GLASS SPLASHBACK </t>
  </si>
  <si>
    <t xml:space="preserve">CLEAR GLASS SOLID COLOUR </t>
  </si>
  <si>
    <t xml:space="preserve">LOW IRON SOLID COLOUR   </t>
  </si>
  <si>
    <t xml:space="preserve">SILVER MIRROR </t>
  </si>
  <si>
    <t>GREY/BRONZE MIRROR</t>
  </si>
  <si>
    <t xml:space="preserve">HOLE 10MM - 50MM </t>
  </si>
  <si>
    <t xml:space="preserve">HOLE 50MM OR GREATER </t>
  </si>
  <si>
    <t xml:space="preserve">RADIUS CORNERS </t>
  </si>
  <si>
    <t xml:space="preserve">GPO CUTOUTS </t>
  </si>
  <si>
    <t xml:space="preserve">1 MAN LIFT </t>
  </si>
  <si>
    <t>DESCPRIPTION</t>
  </si>
  <si>
    <t>QTY</t>
  </si>
  <si>
    <t xml:space="preserve">Includes 2 GPO Cut Outs  </t>
  </si>
  <si>
    <t xml:space="preserve">Hole Diameter </t>
  </si>
  <si>
    <r>
      <rPr>
        <sz val="9"/>
        <color theme="1"/>
        <rFont val="Times New Roman"/>
        <family val="1"/>
      </rPr>
      <t>Non Sharp Edge Corner</t>
    </r>
    <r>
      <rPr>
        <sz val="11"/>
        <color theme="1"/>
        <rFont val="Calibri"/>
        <family val="2"/>
        <scheme val="minor"/>
      </rPr>
      <t xml:space="preserve"> </t>
    </r>
  </si>
  <si>
    <t xml:space="preserve">Additional GPO Cut Outs  </t>
  </si>
  <si>
    <t>Additional 1 Person To Assist With Panels More Than 1.5m Between Walls at 900mm High</t>
  </si>
  <si>
    <t>PER DELIVERY</t>
  </si>
  <si>
    <t>Hinged Door - Poly up to 2.7m high</t>
  </si>
  <si>
    <t>Routing Sliding Door Upto 2.7m high</t>
  </si>
  <si>
    <t>Bifold Door - Wood Matt</t>
  </si>
  <si>
    <t>Routing Per Hinged Door up to 2.7m high</t>
  </si>
  <si>
    <t>458 Drawer Unit - Standard</t>
  </si>
  <si>
    <t>608 Drawer Unit - Standard</t>
  </si>
  <si>
    <t>0 – 457 Drawer Unit - Custom</t>
  </si>
  <si>
    <t>459 – 607 Drawer Unit - Custom</t>
  </si>
  <si>
    <t>609 – 1000 Drawer Unit - Custom</t>
  </si>
  <si>
    <t>458 Drawer Unit</t>
  </si>
  <si>
    <t>608 Drawer Unit</t>
  </si>
  <si>
    <t>4 Drawers With White Handles Complete With 2 Adjustable Shelves</t>
  </si>
  <si>
    <t>4 Drawers With White Handles Complete With 2 Adjustable Shelves - Soft Close Included With Metal Sides</t>
  </si>
  <si>
    <t>3 Drawers With White Handles Complete With 2 Adjustable Shelves</t>
  </si>
  <si>
    <t>458 Single Drawer</t>
  </si>
  <si>
    <t>608 Single Drawer</t>
  </si>
  <si>
    <t>609 – 1000mm Drawer</t>
  </si>
  <si>
    <t>Additional Top Complete Drawers - Each Divider Extra</t>
  </si>
  <si>
    <t>MIRRORS 1800-2600 WIDE</t>
  </si>
  <si>
    <t>2 MEN</t>
  </si>
  <si>
    <t>MIRRORS 2600 WIDE OR LONGER</t>
  </si>
  <si>
    <t>3 MEN &amp; TRUCK</t>
  </si>
  <si>
    <t>10MM FRAMELESS 2000H X 1200W UPTO 2000H X 1250W</t>
  </si>
  <si>
    <t>10MM FRAMELESS 2000H X 1250W UPTO 2000H X 1400W</t>
  </si>
  <si>
    <t>10MM FRAMELESS 2000H X 1400W OR BIGGER</t>
  </si>
  <si>
    <t>SPLASHBACKS 1800-2600 WIDE</t>
  </si>
  <si>
    <t>SPLASHBACKS 2600 WIDE OR LONGER</t>
  </si>
  <si>
    <t>2-3 MAN TEAM</t>
  </si>
  <si>
    <t>TRUCK</t>
  </si>
  <si>
    <t>3 MEN</t>
  </si>
  <si>
    <t>TRUCK DELIVERY</t>
  </si>
  <si>
    <t>Mirrored Shaving Cabinet</t>
  </si>
  <si>
    <t>16mm Cabinet with Mirrored Doors</t>
  </si>
  <si>
    <t>Gravity Frameless Shower (Hinged)</t>
  </si>
  <si>
    <t>Gravity Frameless Shower (Sliding)</t>
  </si>
  <si>
    <t>10mm Clear Toughened, Rail &amp; Brackets included in Chome</t>
  </si>
  <si>
    <t>Full Framed Chrome Standard</t>
  </si>
  <si>
    <t>Perimeter Framed Chrome &amp; Black Standard</t>
  </si>
  <si>
    <t>6mm Polished Edge Epoxy Copper Free</t>
  </si>
  <si>
    <t xml:space="preserve">Perimeter Framed Chrome &amp; Black Standard </t>
  </si>
  <si>
    <t>Integrity Framed Wall To Wall Hinged</t>
  </si>
  <si>
    <t>Integrity Framed Any Dimension Hinged</t>
  </si>
  <si>
    <t>CBWSS TRAVEL &amp; ACCOMODATION CHARGE</t>
  </si>
  <si>
    <t>COUNCIL (LGA)</t>
  </si>
  <si>
    <t>POSTCODE</t>
  </si>
  <si>
    <t>TRAVEL (ex GST)</t>
  </si>
  <si>
    <t>ACCOMODATION</t>
  </si>
  <si>
    <t>Bayside Council</t>
  </si>
  <si>
    <t>NA</t>
  </si>
  <si>
    <t>Blacktown City Council</t>
  </si>
  <si>
    <t>Blue Mountains City Council</t>
  </si>
  <si>
    <t>Burwood Council</t>
  </si>
  <si>
    <t>Camden Council</t>
  </si>
  <si>
    <t>Campbelltown City Council</t>
  </si>
  <si>
    <t>City of Canada Bay Council</t>
  </si>
  <si>
    <t>Canterbury Bankstown Council</t>
  </si>
  <si>
    <t>Central Coast Council</t>
  </si>
  <si>
    <t>Cessnock City Council</t>
  </si>
  <si>
    <t>Cumberland Council</t>
  </si>
  <si>
    <t>Dungog Shire Council</t>
  </si>
  <si>
    <t>Eurobodalla Shire Council</t>
  </si>
  <si>
    <t>Fairfield City Council</t>
  </si>
  <si>
    <t>Georges River Council</t>
  </si>
  <si>
    <t>Hawkesbury City Council</t>
  </si>
  <si>
    <t>Hills Shire Council</t>
  </si>
  <si>
    <t>Hornsby Council</t>
  </si>
  <si>
    <t>Hunters Hill Council</t>
  </si>
  <si>
    <t>Kiama Municipal Council</t>
  </si>
  <si>
    <t>Ku-ring-gai Council</t>
  </si>
  <si>
    <t>Lake Macquarie City Council</t>
  </si>
  <si>
    <t>Lane Cove Council</t>
  </si>
  <si>
    <t>Liverpool City Council</t>
  </si>
  <si>
    <t>Maitland City Council</t>
  </si>
  <si>
    <t>Mid Coast Council</t>
  </si>
  <si>
    <t>Muswellbrook Shire Council</t>
  </si>
  <si>
    <t>Newcastle City Council</t>
  </si>
  <si>
    <t>Northern Beaches Council</t>
  </si>
  <si>
    <t>City of Parramatta Council</t>
  </si>
  <si>
    <t>Penrith City Council</t>
  </si>
  <si>
    <t>Port Stephens Council</t>
  </si>
  <si>
    <t>Port Macquarie Council</t>
  </si>
  <si>
    <t>Randwick City Council</t>
  </si>
  <si>
    <t>Council of the City of Ryde</t>
  </si>
  <si>
    <t>Shellharbour City Council</t>
  </si>
  <si>
    <t>Shoalhaven City Council</t>
  </si>
  <si>
    <t>Singleton Council</t>
  </si>
  <si>
    <t>Strathfield Municipal Council</t>
  </si>
  <si>
    <t>Sutherland Shire Council</t>
  </si>
  <si>
    <t>Upper Hunter Shire Council</t>
  </si>
  <si>
    <t>Waverley Council</t>
  </si>
  <si>
    <t>Willoughby City Council</t>
  </si>
  <si>
    <t>Wingecarribee Shire Council</t>
  </si>
  <si>
    <t>Wollondilly Shire Council</t>
  </si>
  <si>
    <t>Wollongong City Council</t>
  </si>
  <si>
    <t>Great Lakes Council</t>
  </si>
  <si>
    <t>ACT</t>
  </si>
  <si>
    <t>Queanbeyan</t>
  </si>
  <si>
    <t>TRAVEL RATES - REFER TO SECOND TAB</t>
  </si>
  <si>
    <t xml:space="preserve">Wall Jambs &amp; Tracks </t>
  </si>
  <si>
    <t>Semi Frameless Contour Wall To Wall PIVOT</t>
  </si>
  <si>
    <t>Semi Frameless Contour Any Dimension PIVOT</t>
  </si>
  <si>
    <t>Semi Frameless Contour Any Dimension SLIDING</t>
  </si>
  <si>
    <t>SEMI FRAMELESS COLOUR SELECTION</t>
  </si>
  <si>
    <t>INTEGRITY FRAMED COLOUR SELECTION</t>
  </si>
  <si>
    <t xml:space="preserve">White, White Birch, Apo Grey, Almond Cream, Almond Ivory, Bright Satin, Bright Bronze, Bright Gold, Matt Bronze, Matt Gold </t>
  </si>
  <si>
    <t xml:space="preserve">Integrity Framed Colours </t>
  </si>
  <si>
    <t>Semi Frameless Colours</t>
  </si>
  <si>
    <t>Matt Black, Satin Nickel, Polished Nickel, Brushed Brass, Brushed Gun Metal, Brushed Rose Gold, Antique Brass, Soft Gold Brushed, White, Polished Gold</t>
  </si>
  <si>
    <t>Black, Almond Cream, White, Bright Satin, Bright Bronze, Bright Gold, Matt Natural</t>
  </si>
  <si>
    <t>Mirror Sliding Doors 2.4m to 2.7m High</t>
  </si>
  <si>
    <t>Mirror Sliding Doors up to 2.4m High</t>
  </si>
  <si>
    <t>Meltecca / Vinyl Sliding Doors up to 2.4m High</t>
  </si>
  <si>
    <t>Robe Door –Green Frosted up to 2.4m High</t>
  </si>
  <si>
    <t>Robe Door – Super White up to 2.4m High</t>
  </si>
  <si>
    <t>Robe Door –Green Frosted 2.4m to 2.7m High</t>
  </si>
  <si>
    <t>Robe Door – Super White 2.4m to 2.7m High</t>
  </si>
  <si>
    <t>Robe Doors - Frameless - Added on top of selected door</t>
  </si>
  <si>
    <t>COMPLETE PRICE LIST CALCULATOR                        EXCLUDING GST                                        Jan 2026 - Jan 2028</t>
  </si>
  <si>
    <t>Round Cornered Silver Mirror</t>
  </si>
  <si>
    <t>Round Cornered Grey Mirror</t>
  </si>
  <si>
    <t>Polished Edge with Round 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</si>
</sst>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2.5"/>
      <color theme="0"/>
      <name val="Times New Roman"/>
      <family val="1"/>
    </font>
    <font>
      <b/>
      <u/>
      <sz val="16"/>
      <color theme="0"/>
      <name val="Times New Roman"/>
      <family val="1"/>
    </font>
    <font>
      <b/>
      <u/>
      <sz val="16"/>
      <color theme="5" tint="0.39997558519241921"/>
      <name val="Times New Roman"/>
      <family val="1"/>
    </font>
    <font>
      <b/>
      <sz val="12.5"/>
      <color theme="0" tint="-4.9989318521683403E-2"/>
      <name val="Times New Roman"/>
      <family val="1"/>
    </font>
    <font>
      <b/>
      <sz val="12.5"/>
      <color theme="5" tint="0.59999389629810485"/>
      <name val="Times New Roman"/>
      <family val="1"/>
    </font>
    <font>
      <b/>
      <u/>
      <sz val="16"/>
      <color theme="7" tint="0.39997558519241921"/>
      <name val="Times New Roman"/>
      <family val="1"/>
    </font>
    <font>
      <b/>
      <sz val="12.5"/>
      <color theme="7" tint="0.39997558519241921"/>
      <name val="Times New Roman"/>
      <family val="1"/>
    </font>
    <font>
      <b/>
      <u/>
      <sz val="16"/>
      <color rgb="FFFFC000"/>
      <name val="Times New Roman"/>
      <family val="1"/>
    </font>
    <font>
      <b/>
      <sz val="12.5"/>
      <color rgb="FFFFC000"/>
      <name val="Times New Roman"/>
      <family val="1"/>
    </font>
    <font>
      <b/>
      <u/>
      <sz val="16"/>
      <color rgb="FF00B0F0"/>
      <name val="Times New Roman"/>
      <family val="1"/>
    </font>
    <font>
      <b/>
      <u/>
      <sz val="16"/>
      <color rgb="FFFFFF00"/>
      <name val="Times New Roman"/>
      <family val="1"/>
    </font>
    <font>
      <b/>
      <sz val="12.5"/>
      <color rgb="FFFFFF00"/>
      <name val="Times New Roman"/>
      <family val="1"/>
    </font>
    <font>
      <b/>
      <sz val="12.5"/>
      <color rgb="FF00B0F0"/>
      <name val="Times New Roman"/>
      <family val="1"/>
    </font>
    <font>
      <b/>
      <sz val="13.5"/>
      <color rgb="FFFFC000"/>
      <name val="Times New Roman"/>
      <family val="1"/>
    </font>
    <font>
      <sz val="11"/>
      <color rgb="FFFF0000"/>
      <name val="Calibri"/>
      <family val="2"/>
      <scheme val="minor"/>
    </font>
    <font>
      <sz val="9"/>
      <color rgb="FF000000"/>
      <name val="Times New Roman"/>
      <family val="1"/>
    </font>
    <font>
      <b/>
      <u/>
      <sz val="16"/>
      <color theme="8" tint="0.59999389629810485"/>
      <name val="Times New Roman"/>
      <family val="1"/>
    </font>
    <font>
      <b/>
      <sz val="12.5"/>
      <color theme="4" tint="0.59999389629810485"/>
      <name val="Times New Roman"/>
      <family val="1"/>
    </font>
    <font>
      <sz val="11"/>
      <color theme="1"/>
      <name val="Calibri"/>
      <family val="1"/>
      <scheme val="minor"/>
    </font>
    <font>
      <b/>
      <sz val="12.5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Times New Roman"/>
      <family val="1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44" fontId="4" fillId="0" borderId="2" xfId="1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top" wrapText="1"/>
    </xf>
    <xf numFmtId="0" fontId="20" fillId="0" borderId="0" xfId="0" applyFont="1"/>
    <xf numFmtId="44" fontId="2" fillId="0" borderId="2" xfId="0" applyNumberFormat="1" applyFont="1" applyBorder="1" applyAlignment="1">
      <alignment horizontal="center" vertical="center" wrapText="1"/>
    </xf>
    <xf numFmtId="44" fontId="4" fillId="0" borderId="2" xfId="0" applyNumberFormat="1" applyFont="1" applyBorder="1" applyAlignment="1">
      <alignment horizontal="center" vertical="center" wrapText="1"/>
    </xf>
    <xf numFmtId="44" fontId="5" fillId="0" borderId="2" xfId="1" applyFont="1" applyBorder="1" applyAlignment="1">
      <alignment horizontal="center" vertical="center" wrapText="1"/>
    </xf>
    <xf numFmtId="44" fontId="0" fillId="0" borderId="2" xfId="0" applyNumberFormat="1" applyBorder="1"/>
    <xf numFmtId="4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0" fillId="0" borderId="0" xfId="0" applyBorder="1"/>
    <xf numFmtId="0" fontId="0" fillId="4" borderId="0" xfId="0" applyFill="1" applyBorder="1"/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21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/>
    </xf>
    <xf numFmtId="0" fontId="24" fillId="0" borderId="2" xfId="0" applyFont="1" applyBorder="1"/>
    <xf numFmtId="0" fontId="25" fillId="3" borderId="2" xfId="0" applyFont="1" applyFill="1" applyBorder="1" applyAlignment="1">
      <alignment horizontal="left"/>
    </xf>
    <xf numFmtId="164" fontId="2" fillId="0" borderId="2" xfId="1" applyNumberFormat="1" applyFont="1" applyBorder="1" applyAlignment="1">
      <alignment horizontal="center" vertical="center" wrapText="1"/>
    </xf>
    <xf numFmtId="164" fontId="21" fillId="0" borderId="2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0" fontId="9" fillId="3" borderId="2" xfId="0" applyFont="1" applyFill="1" applyBorder="1" applyAlignment="1" applyProtection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top"/>
    </xf>
    <xf numFmtId="0" fontId="12" fillId="3" borderId="5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/>
    </xf>
    <xf numFmtId="0" fontId="12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21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wrapText="1"/>
    </xf>
    <xf numFmtId="0" fontId="26" fillId="0" borderId="2" xfId="0" applyFont="1" applyBorder="1"/>
    <xf numFmtId="0" fontId="26" fillId="0" borderId="2" xfId="0" applyFont="1" applyBorder="1" applyAlignment="1">
      <alignment horizontal="center"/>
    </xf>
    <xf numFmtId="0" fontId="28" fillId="0" borderId="2" xfId="0" applyFont="1" applyBorder="1"/>
    <xf numFmtId="0" fontId="28" fillId="0" borderId="7" xfId="0" applyFont="1" applyBorder="1" applyAlignment="1">
      <alignment horizontal="right"/>
    </xf>
    <xf numFmtId="0" fontId="28" fillId="0" borderId="2" xfId="0" applyFont="1" applyBorder="1" applyAlignment="1">
      <alignment horizontal="right"/>
    </xf>
    <xf numFmtId="44" fontId="28" fillId="0" borderId="2" xfId="1" applyFont="1" applyBorder="1" applyAlignment="1">
      <alignment horizontal="right"/>
    </xf>
    <xf numFmtId="0" fontId="29" fillId="0" borderId="2" xfId="0" applyFont="1" applyBorder="1"/>
    <xf numFmtId="0" fontId="29" fillId="0" borderId="2" xfId="0" applyFont="1" applyBorder="1" applyAlignment="1">
      <alignment vertical="center" wrapText="1"/>
    </xf>
    <xf numFmtId="0" fontId="0" fillId="0" borderId="2" xfId="0" applyBorder="1"/>
    <xf numFmtId="0" fontId="29" fillId="0" borderId="2" xfId="0" applyFont="1" applyFill="1" applyBorder="1" applyAlignment="1">
      <alignment vertical="center" wrapText="1"/>
    </xf>
    <xf numFmtId="0" fontId="30" fillId="0" borderId="0" xfId="0" applyFont="1" applyFill="1" applyBorder="1" applyAlignment="1">
      <alignment horizontal="left" vertical="top" wrapText="1"/>
    </xf>
    <xf numFmtId="0" fontId="31" fillId="0" borderId="0" xfId="0" applyFont="1"/>
    <xf numFmtId="0" fontId="13" fillId="3" borderId="2" xfId="0" applyFont="1" applyFill="1" applyBorder="1" applyAlignment="1">
      <alignment horizontal="center" vertical="center" textRotation="90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22" fillId="3" borderId="1" xfId="0" applyFont="1" applyFill="1" applyBorder="1" applyAlignment="1">
      <alignment horizontal="center" vertical="center" textRotation="90" wrapText="1"/>
    </xf>
    <xf numFmtId="0" fontId="15" fillId="3" borderId="1" xfId="0" applyFont="1" applyFill="1" applyBorder="1" applyAlignment="1">
      <alignment horizontal="center" vertical="center" textRotation="90" wrapText="1"/>
    </xf>
    <xf numFmtId="0" fontId="15" fillId="3" borderId="8" xfId="0" applyFont="1" applyFill="1" applyBorder="1" applyAlignment="1">
      <alignment horizontal="center" vertical="center" textRotation="90" wrapText="1"/>
    </xf>
    <xf numFmtId="0" fontId="11" fillId="3" borderId="0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8" fillId="3" borderId="3" xfId="0" applyFont="1" applyFill="1" applyBorder="1" applyAlignment="1">
      <alignment horizontal="center" vertical="center" textRotation="90" wrapText="1"/>
    </xf>
    <xf numFmtId="0" fontId="8" fillId="3" borderId="4" xfId="0" applyFont="1" applyFill="1" applyBorder="1" applyAlignment="1">
      <alignment horizontal="center" vertical="center" textRotation="90" wrapText="1"/>
    </xf>
    <xf numFmtId="0" fontId="11" fillId="3" borderId="9" xfId="0" applyFont="1" applyFill="1" applyBorder="1" applyAlignment="1">
      <alignment horizontal="center" vertical="center" textRotation="90" wrapText="1"/>
    </xf>
    <xf numFmtId="0" fontId="7" fillId="3" borderId="0" xfId="0" applyFont="1" applyFill="1" applyBorder="1" applyAlignment="1">
      <alignment horizontal="center" vertical="center" textRotation="90" wrapText="1"/>
    </xf>
    <xf numFmtId="0" fontId="16" fillId="3" borderId="1" xfId="0" applyFont="1" applyFill="1" applyBorder="1" applyAlignment="1">
      <alignment horizontal="center" vertical="center" textRotation="90" wrapText="1"/>
    </xf>
    <xf numFmtId="0" fontId="16" fillId="0" borderId="0" xfId="0" applyFont="1" applyFill="1" applyBorder="1" applyAlignment="1">
      <alignment horizontal="center" vertical="center" textRotation="90" wrapText="1"/>
    </xf>
    <xf numFmtId="0" fontId="16" fillId="0" borderId="1" xfId="0" applyFont="1" applyFill="1" applyBorder="1" applyAlignment="1">
      <alignment horizontal="center" vertical="center" textRotation="90" wrapText="1"/>
    </xf>
    <xf numFmtId="0" fontId="16" fillId="0" borderId="0" xfId="0" applyFont="1" applyFill="1" applyAlignment="1">
      <alignment horizontal="center" vertical="center" textRotation="90" wrapText="1"/>
    </xf>
    <xf numFmtId="0" fontId="15" fillId="3" borderId="9" xfId="0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25978</xdr:colOff>
      <xdr:row>0</xdr:row>
      <xdr:rowOff>8658</xdr:rowOff>
    </xdr:from>
    <xdr:to>
      <xdr:col>1</xdr:col>
      <xdr:colOff>2355273</xdr:colOff>
      <xdr:row>0</xdr:row>
      <xdr:rowOff>831273</xdr:rowOff>
    </xdr:to>
    <xdr:pic>
      <xdr:nvPicPr>
        <xdr:cNvPr id="2" name="Picture 1" descr="IMG_5743">
          <a:extLst>
            <a:ext uri="{FF2B5EF4-FFF2-40B4-BE49-F238E27FC236}">
              <a16:creationId xmlns:a16="http://schemas.microsoft.com/office/drawing/2014/main" id="{FCA41240-15F9-47A1-9CAB-3D959CB2B0F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8" y="8658"/>
          <a:ext cx="3086966" cy="82261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406690</xdr:colOff>
      <xdr:row>201</xdr:row>
      <xdr:rowOff>44594</xdr:rowOff>
    </xdr:to>
    <xdr:pic>
      <xdr:nvPicPr>
        <xdr:cNvPr id="4" name="Picture 3" descr="C:\Users\CBWSS\AppData\Local\Microsoft\Windows\INetCache\Content.Outlook\0KOBC5WP\Semi Frameless Colours (002).jpg">
          <a:extLst>
            <a:ext uri="{FF2B5EF4-FFF2-40B4-BE49-F238E27FC236}">
              <a16:creationId xmlns:a16="http://schemas.microsoft.com/office/drawing/2014/main" id="{C3275E90-13A4-4506-892D-C5961BDB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1" y="34272682"/>
          <a:ext cx="3214255" cy="3768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4</xdr:col>
      <xdr:colOff>0</xdr:colOff>
      <xdr:row>199</xdr:row>
      <xdr:rowOff>28574</xdr:rowOff>
    </xdr:to>
    <xdr:pic>
      <xdr:nvPicPr>
        <xdr:cNvPr id="5" name="Picture 4" descr="C:\Users\CBWSS\AppData\Local\Microsoft\Windows\INetCache\Content.Outlook\0KOBC5WP\Fully Framed Colours (002).jpg">
          <a:extLst>
            <a:ext uri="{FF2B5EF4-FFF2-40B4-BE49-F238E27FC236}">
              <a16:creationId xmlns:a16="http://schemas.microsoft.com/office/drawing/2014/main" id="{106C4717-FD93-4EFD-A1DA-D5B84694B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34170938"/>
          <a:ext cx="3238500" cy="3371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2314576</xdr:colOff>
      <xdr:row>0</xdr:row>
      <xdr:rowOff>0</xdr:rowOff>
    </xdr:from>
    <xdr:ext cx="2795588" cy="15144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D21BE2-DF79-4936-B8BF-9DE32AA56200}"/>
            </a:ext>
          </a:extLst>
        </xdr:cNvPr>
        <xdr:cNvSpPr txBox="1"/>
      </xdr:nvSpPr>
      <xdr:spPr>
        <a:xfrm>
          <a:off x="2314576" y="0"/>
          <a:ext cx="2795588" cy="15144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050" b="1"/>
            <a:t>QTY TRAVEL</a:t>
          </a:r>
          <a:r>
            <a:rPr lang="en-AU" sz="1050" b="1" baseline="0"/>
            <a:t> </a:t>
          </a:r>
          <a:r>
            <a:rPr lang="en-A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 ACCOMODATION </a:t>
          </a:r>
          <a:r>
            <a:rPr lang="en-AU" sz="1050" b="1" baseline="0"/>
            <a:t>BY TRADE </a:t>
          </a:r>
        </a:p>
        <a:p>
          <a:r>
            <a:rPr lang="en-AU" sz="1050" b="1" baseline="0"/>
            <a:t>1 X MEASURE</a:t>
          </a:r>
        </a:p>
        <a:p>
          <a:r>
            <a:rPr lang="en-AU" sz="1050" b="1" baseline="0"/>
            <a:t>1 X SHOWER &amp; MIRROR INSTALLATION</a:t>
          </a:r>
        </a:p>
        <a:p>
          <a:r>
            <a:rPr lang="en-AU" sz="1050" b="1" baseline="0"/>
            <a:t>1 X WARDROBE AND/OR ROBE DOORS INSTALLATION</a:t>
          </a:r>
          <a:endParaRPr lang="en-AU" sz="105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4322-705E-4A05-A73A-318DAEE2C742}">
  <sheetPr>
    <pageSetUpPr fitToPage="1"/>
  </sheetPr>
  <dimension ref="A1:H195"/>
  <sheetViews>
    <sheetView tabSelected="1" topLeftCell="A129" zoomScaleNormal="100" workbookViewId="0">
      <pane xSplit="6" topLeftCell="G1" activePane="topRight" state="frozen"/>
      <selection activeCell="A86" sqref="A86"/>
      <selection pane="topRight" activeCell="D133" sqref="D133"/>
    </sheetView>
  </sheetViews>
  <sheetFormatPr defaultColWidth="8.88671875" defaultRowHeight="14.4" x14ac:dyDescent="0.3"/>
  <cols>
    <col min="1" max="1" width="10.5546875" customWidth="1"/>
    <col min="2" max="2" width="39.109375" customWidth="1"/>
    <col min="3" max="3" width="6.5546875" customWidth="1"/>
    <col min="4" max="4" width="45.44140625" customWidth="1"/>
    <col min="5" max="5" width="11.88671875" customWidth="1"/>
    <col min="6" max="6" width="14.44140625" customWidth="1"/>
    <col min="7" max="7" width="13.77734375" customWidth="1"/>
    <col min="8" max="8" width="13.44140625" bestFit="1" customWidth="1"/>
  </cols>
  <sheetData>
    <row r="1" spans="1:7" ht="66.45" customHeight="1" x14ac:dyDescent="0.3">
      <c r="B1" s="14"/>
      <c r="D1" s="47" t="s">
        <v>262</v>
      </c>
    </row>
    <row r="2" spans="1:7" ht="15.45" customHeight="1" x14ac:dyDescent="0.3">
      <c r="B2" s="15" t="s">
        <v>94</v>
      </c>
      <c r="D2" s="5"/>
    </row>
    <row r="3" spans="1:7" ht="18" customHeight="1" x14ac:dyDescent="0.3">
      <c r="A3" s="89" t="s">
        <v>0</v>
      </c>
      <c r="B3" s="30" t="s">
        <v>1</v>
      </c>
      <c r="C3" s="31" t="s">
        <v>138</v>
      </c>
      <c r="D3" s="31" t="s">
        <v>2</v>
      </c>
      <c r="E3" s="31" t="s">
        <v>4</v>
      </c>
      <c r="F3" s="31" t="s">
        <v>3</v>
      </c>
      <c r="G3" s="31" t="s">
        <v>69</v>
      </c>
    </row>
    <row r="4" spans="1:7" ht="14.4" customHeight="1" x14ac:dyDescent="0.3">
      <c r="A4" s="89"/>
      <c r="B4" s="63" t="s">
        <v>5</v>
      </c>
      <c r="C4" s="16"/>
      <c r="D4" s="13" t="s">
        <v>6</v>
      </c>
      <c r="E4" s="22" t="s">
        <v>75</v>
      </c>
      <c r="F4" s="25">
        <v>46.5</v>
      </c>
      <c r="G4" s="7">
        <f t="shared" ref="G4:G18" si="0">SUM(C4*F4)</f>
        <v>0</v>
      </c>
    </row>
    <row r="5" spans="1:7" ht="14.4" customHeight="1" x14ac:dyDescent="0.3">
      <c r="A5" s="89"/>
      <c r="B5" s="63" t="s">
        <v>5</v>
      </c>
      <c r="C5" s="16"/>
      <c r="D5" s="13" t="s">
        <v>7</v>
      </c>
      <c r="E5" s="22" t="s">
        <v>75</v>
      </c>
      <c r="F5" s="25">
        <v>54.52</v>
      </c>
      <c r="G5" s="7">
        <f t="shared" si="0"/>
        <v>0</v>
      </c>
    </row>
    <row r="6" spans="1:7" ht="14.4" customHeight="1" x14ac:dyDescent="0.3">
      <c r="A6" s="89"/>
      <c r="B6" s="63" t="s">
        <v>8</v>
      </c>
      <c r="C6" s="16"/>
      <c r="D6" s="13" t="s">
        <v>9</v>
      </c>
      <c r="E6" s="22" t="s">
        <v>76</v>
      </c>
      <c r="F6" s="25">
        <v>50</v>
      </c>
      <c r="G6" s="7">
        <f t="shared" si="0"/>
        <v>0</v>
      </c>
    </row>
    <row r="7" spans="1:7" ht="14.4" customHeight="1" x14ac:dyDescent="0.3">
      <c r="A7" s="89"/>
      <c r="B7" s="63" t="s">
        <v>10</v>
      </c>
      <c r="C7" s="16"/>
      <c r="D7" s="65" t="s">
        <v>11</v>
      </c>
      <c r="E7" s="54" t="s">
        <v>75</v>
      </c>
      <c r="F7" s="25">
        <v>45.44</v>
      </c>
      <c r="G7" s="7">
        <f t="shared" si="0"/>
        <v>0</v>
      </c>
    </row>
    <row r="8" spans="1:7" ht="21.75" customHeight="1" x14ac:dyDescent="0.3">
      <c r="A8" s="89"/>
      <c r="B8" s="63" t="s">
        <v>149</v>
      </c>
      <c r="C8" s="16"/>
      <c r="D8" s="65" t="s">
        <v>156</v>
      </c>
      <c r="E8" s="54" t="s">
        <v>76</v>
      </c>
      <c r="F8" s="25">
        <v>268</v>
      </c>
      <c r="G8" s="7">
        <f t="shared" si="0"/>
        <v>0</v>
      </c>
    </row>
    <row r="9" spans="1:7" ht="24" customHeight="1" x14ac:dyDescent="0.3">
      <c r="A9" s="89"/>
      <c r="B9" s="63" t="s">
        <v>150</v>
      </c>
      <c r="C9" s="16"/>
      <c r="D9" s="13" t="s">
        <v>156</v>
      </c>
      <c r="E9" s="22" t="s">
        <v>76</v>
      </c>
      <c r="F9" s="25">
        <v>349.68</v>
      </c>
      <c r="G9" s="7">
        <f t="shared" si="0"/>
        <v>0</v>
      </c>
    </row>
    <row r="10" spans="1:7" ht="27.75" customHeight="1" x14ac:dyDescent="0.3">
      <c r="A10" s="89"/>
      <c r="B10" s="63" t="s">
        <v>151</v>
      </c>
      <c r="C10" s="16"/>
      <c r="D10" s="13" t="s">
        <v>156</v>
      </c>
      <c r="E10" s="22" t="s">
        <v>76</v>
      </c>
      <c r="F10" s="25">
        <v>384.86</v>
      </c>
      <c r="G10" s="7">
        <f t="shared" si="0"/>
        <v>0</v>
      </c>
    </row>
    <row r="11" spans="1:7" ht="21.75" customHeight="1" x14ac:dyDescent="0.3">
      <c r="A11" s="89"/>
      <c r="B11" s="63" t="s">
        <v>152</v>
      </c>
      <c r="C11" s="16"/>
      <c r="D11" s="13" t="s">
        <v>156</v>
      </c>
      <c r="E11" s="22" t="s">
        <v>76</v>
      </c>
      <c r="F11" s="25">
        <v>428.85</v>
      </c>
      <c r="G11" s="7">
        <f t="shared" si="0"/>
        <v>0</v>
      </c>
    </row>
    <row r="12" spans="1:7" ht="26.25" customHeight="1" x14ac:dyDescent="0.3">
      <c r="A12" s="89"/>
      <c r="B12" s="63" t="s">
        <v>153</v>
      </c>
      <c r="C12" s="16"/>
      <c r="D12" s="13" t="s">
        <v>157</v>
      </c>
      <c r="E12" s="22" t="s">
        <v>76</v>
      </c>
      <c r="F12" s="25">
        <v>482.36</v>
      </c>
      <c r="G12" s="7">
        <f t="shared" si="0"/>
        <v>0</v>
      </c>
    </row>
    <row r="13" spans="1:7" ht="21.75" customHeight="1" x14ac:dyDescent="0.3">
      <c r="A13" s="89"/>
      <c r="B13" s="63" t="s">
        <v>154</v>
      </c>
      <c r="C13" s="16"/>
      <c r="D13" s="13" t="s">
        <v>158</v>
      </c>
      <c r="E13" s="22" t="s">
        <v>76</v>
      </c>
      <c r="F13" s="25">
        <v>240.9</v>
      </c>
      <c r="G13" s="7">
        <f t="shared" si="0"/>
        <v>0</v>
      </c>
    </row>
    <row r="14" spans="1:7" ht="24.75" customHeight="1" x14ac:dyDescent="0.3">
      <c r="A14" s="89"/>
      <c r="B14" s="63" t="s">
        <v>155</v>
      </c>
      <c r="C14" s="16"/>
      <c r="D14" s="13" t="s">
        <v>158</v>
      </c>
      <c r="E14" s="22" t="s">
        <v>76</v>
      </c>
      <c r="F14" s="25">
        <v>308.76</v>
      </c>
      <c r="G14" s="7">
        <f t="shared" si="0"/>
        <v>0</v>
      </c>
    </row>
    <row r="15" spans="1:7" ht="14.4" customHeight="1" x14ac:dyDescent="0.3">
      <c r="A15" s="89"/>
      <c r="B15" s="63" t="s">
        <v>21</v>
      </c>
      <c r="C15" s="16"/>
      <c r="D15" s="13" t="s">
        <v>22</v>
      </c>
      <c r="E15" s="22" t="s">
        <v>76</v>
      </c>
      <c r="F15" s="25">
        <v>198.14</v>
      </c>
      <c r="G15" s="7">
        <f t="shared" si="0"/>
        <v>0</v>
      </c>
    </row>
    <row r="16" spans="1:7" ht="14.4" customHeight="1" x14ac:dyDescent="0.3">
      <c r="A16" s="89"/>
      <c r="B16" s="63" t="s">
        <v>23</v>
      </c>
      <c r="C16" s="16"/>
      <c r="D16" s="13" t="s">
        <v>22</v>
      </c>
      <c r="E16" s="22" t="s">
        <v>76</v>
      </c>
      <c r="F16" s="25">
        <v>228.96</v>
      </c>
      <c r="G16" s="7">
        <f t="shared" si="0"/>
        <v>0</v>
      </c>
    </row>
    <row r="17" spans="1:7" ht="14.4" customHeight="1" x14ac:dyDescent="0.3">
      <c r="A17" s="89"/>
      <c r="B17" s="63" t="s">
        <v>24</v>
      </c>
      <c r="C17" s="16"/>
      <c r="D17" s="13" t="s">
        <v>22</v>
      </c>
      <c r="E17" s="22" t="s">
        <v>76</v>
      </c>
      <c r="F17" s="25">
        <v>362.25</v>
      </c>
      <c r="G17" s="7">
        <f t="shared" si="0"/>
        <v>0</v>
      </c>
    </row>
    <row r="18" spans="1:7" x14ac:dyDescent="0.3">
      <c r="A18" s="89"/>
      <c r="B18" s="67" t="s">
        <v>25</v>
      </c>
      <c r="C18" s="17"/>
      <c r="D18" s="66" t="s">
        <v>113</v>
      </c>
      <c r="E18" s="55" t="s">
        <v>76</v>
      </c>
      <c r="F18" s="28">
        <v>68</v>
      </c>
      <c r="G18" s="7">
        <f t="shared" si="0"/>
        <v>0</v>
      </c>
    </row>
    <row r="19" spans="1:7" x14ac:dyDescent="0.3">
      <c r="A19" s="3"/>
      <c r="B19" s="3"/>
      <c r="C19" s="3"/>
      <c r="D19" s="3"/>
      <c r="E19" s="3"/>
      <c r="F19" s="3"/>
      <c r="G19" s="3"/>
    </row>
    <row r="20" spans="1:7" ht="15.6" customHeight="1" x14ac:dyDescent="0.3">
      <c r="A20" s="93" t="s">
        <v>26</v>
      </c>
      <c r="B20" s="33" t="s">
        <v>1</v>
      </c>
      <c r="C20" s="31" t="s">
        <v>138</v>
      </c>
      <c r="D20" s="32" t="s">
        <v>137</v>
      </c>
      <c r="E20" s="32" t="s">
        <v>4</v>
      </c>
      <c r="F20" s="31" t="s">
        <v>3</v>
      </c>
      <c r="G20" s="31" t="s">
        <v>69</v>
      </c>
    </row>
    <row r="21" spans="1:7" ht="14.4" customHeight="1" x14ac:dyDescent="0.3">
      <c r="A21" s="93"/>
      <c r="B21" s="13" t="s">
        <v>159</v>
      </c>
      <c r="C21" s="16"/>
      <c r="D21" s="13" t="s">
        <v>79</v>
      </c>
      <c r="E21" s="22" t="s">
        <v>76</v>
      </c>
      <c r="F21" s="25">
        <v>39</v>
      </c>
      <c r="G21" s="7">
        <f t="shared" ref="G21:G28" si="1">SUM(C21*F21)</f>
        <v>0</v>
      </c>
    </row>
    <row r="22" spans="1:7" ht="15" customHeight="1" x14ac:dyDescent="0.3">
      <c r="A22" s="93"/>
      <c r="B22" s="13" t="s">
        <v>160</v>
      </c>
      <c r="C22" s="16"/>
      <c r="D22" s="13" t="s">
        <v>80</v>
      </c>
      <c r="E22" s="22" t="s">
        <v>76</v>
      </c>
      <c r="F22" s="25">
        <v>56.44</v>
      </c>
      <c r="G22" s="7">
        <f t="shared" si="1"/>
        <v>0</v>
      </c>
    </row>
    <row r="23" spans="1:7" ht="14.4" customHeight="1" x14ac:dyDescent="0.3">
      <c r="A23" s="93"/>
      <c r="B23" s="13" t="s">
        <v>161</v>
      </c>
      <c r="C23" s="16"/>
      <c r="D23" s="13" t="s">
        <v>80</v>
      </c>
      <c r="E23" s="22" t="s">
        <v>76</v>
      </c>
      <c r="F23" s="25">
        <v>86</v>
      </c>
      <c r="G23" s="7">
        <f t="shared" si="1"/>
        <v>0</v>
      </c>
    </row>
    <row r="24" spans="1:7" x14ac:dyDescent="0.3">
      <c r="A24" s="93"/>
      <c r="B24" s="61" t="s">
        <v>30</v>
      </c>
      <c r="C24" s="18"/>
      <c r="D24" s="61" t="s">
        <v>115</v>
      </c>
      <c r="E24" s="56" t="s">
        <v>76</v>
      </c>
      <c r="F24" s="26">
        <v>88</v>
      </c>
      <c r="G24" s="7">
        <f t="shared" si="1"/>
        <v>0</v>
      </c>
    </row>
    <row r="25" spans="1:7" x14ac:dyDescent="0.3">
      <c r="A25" s="93"/>
      <c r="B25" s="13" t="s">
        <v>31</v>
      </c>
      <c r="C25" s="16"/>
      <c r="D25" s="13" t="s">
        <v>114</v>
      </c>
      <c r="E25" s="22" t="s">
        <v>76</v>
      </c>
      <c r="F25" s="25">
        <v>172.72</v>
      </c>
      <c r="G25" s="7">
        <f t="shared" si="1"/>
        <v>0</v>
      </c>
    </row>
    <row r="26" spans="1:7" x14ac:dyDescent="0.3">
      <c r="A26" s="93"/>
      <c r="B26" s="62" t="s">
        <v>32</v>
      </c>
      <c r="C26" s="16"/>
      <c r="D26" s="13" t="s">
        <v>81</v>
      </c>
      <c r="E26" s="22" t="s">
        <v>76</v>
      </c>
      <c r="F26" s="25">
        <v>55</v>
      </c>
      <c r="G26" s="7">
        <f t="shared" si="1"/>
        <v>0</v>
      </c>
    </row>
    <row r="27" spans="1:7" ht="14.4" customHeight="1" x14ac:dyDescent="0.3">
      <c r="A27" s="93"/>
      <c r="B27" s="13" t="s">
        <v>33</v>
      </c>
      <c r="C27" s="16"/>
      <c r="D27" s="13" t="s">
        <v>77</v>
      </c>
      <c r="E27" s="22" t="s">
        <v>76</v>
      </c>
      <c r="F27" s="27">
        <v>36.24</v>
      </c>
      <c r="G27" s="7">
        <f t="shared" si="1"/>
        <v>0</v>
      </c>
    </row>
    <row r="28" spans="1:7" ht="14.4" customHeight="1" x14ac:dyDescent="0.3">
      <c r="A28" s="93"/>
      <c r="B28" s="62" t="s">
        <v>34</v>
      </c>
      <c r="C28" s="16"/>
      <c r="D28" s="13" t="s">
        <v>162</v>
      </c>
      <c r="E28" s="22" t="s">
        <v>82</v>
      </c>
      <c r="F28" s="25">
        <v>88</v>
      </c>
      <c r="G28" s="7">
        <f t="shared" si="1"/>
        <v>0</v>
      </c>
    </row>
    <row r="29" spans="1:7" x14ac:dyDescent="0.3">
      <c r="A29" s="49"/>
      <c r="B29" s="51"/>
      <c r="C29" s="51"/>
      <c r="D29" s="51"/>
      <c r="E29" s="51"/>
      <c r="F29" s="51"/>
      <c r="G29" s="51"/>
    </row>
    <row r="30" spans="1:7" ht="16.5" customHeight="1" x14ac:dyDescent="0.3">
      <c r="A30" s="92" t="s">
        <v>44</v>
      </c>
      <c r="B30" s="50" t="s">
        <v>1</v>
      </c>
      <c r="C30" s="52" t="s">
        <v>138</v>
      </c>
      <c r="D30" s="52" t="s">
        <v>2</v>
      </c>
      <c r="E30" s="52" t="s">
        <v>4</v>
      </c>
      <c r="F30" s="52" t="s">
        <v>3</v>
      </c>
      <c r="G30" s="53" t="s">
        <v>69</v>
      </c>
    </row>
    <row r="31" spans="1:7" ht="14.4" customHeight="1" x14ac:dyDescent="0.3">
      <c r="A31" s="84"/>
      <c r="B31" s="63" t="s">
        <v>5</v>
      </c>
      <c r="C31" s="16"/>
      <c r="D31" s="13" t="s">
        <v>6</v>
      </c>
      <c r="E31" s="22" t="s">
        <v>75</v>
      </c>
      <c r="F31" s="25">
        <v>94.06</v>
      </c>
      <c r="G31" s="7">
        <f t="shared" ref="G31:G36" si="2">SUM(C31*F31)</f>
        <v>0</v>
      </c>
    </row>
    <row r="32" spans="1:7" ht="14.4" customHeight="1" x14ac:dyDescent="0.3">
      <c r="A32" s="84"/>
      <c r="B32" s="63" t="s">
        <v>5</v>
      </c>
      <c r="C32" s="16"/>
      <c r="D32" s="13" t="s">
        <v>7</v>
      </c>
      <c r="E32" s="22" t="s">
        <v>75</v>
      </c>
      <c r="F32" s="25">
        <v>114.55</v>
      </c>
      <c r="G32" s="7">
        <f t="shared" si="2"/>
        <v>0</v>
      </c>
    </row>
    <row r="33" spans="1:7" ht="14.4" customHeight="1" x14ac:dyDescent="0.3">
      <c r="A33" s="84"/>
      <c r="B33" s="63" t="s">
        <v>8</v>
      </c>
      <c r="C33" s="16"/>
      <c r="D33" s="13" t="s">
        <v>9</v>
      </c>
      <c r="E33" s="22" t="s">
        <v>76</v>
      </c>
      <c r="F33" s="25">
        <v>109.68</v>
      </c>
      <c r="G33" s="7">
        <f t="shared" si="2"/>
        <v>0</v>
      </c>
    </row>
    <row r="34" spans="1:7" ht="14.4" customHeight="1" x14ac:dyDescent="0.3">
      <c r="A34" s="84"/>
      <c r="B34" s="63" t="s">
        <v>10</v>
      </c>
      <c r="C34" s="16"/>
      <c r="D34" s="65" t="s">
        <v>11</v>
      </c>
      <c r="E34" s="54" t="s">
        <v>75</v>
      </c>
      <c r="F34" s="25">
        <v>89.85</v>
      </c>
      <c r="G34" s="7">
        <f t="shared" si="2"/>
        <v>0</v>
      </c>
    </row>
    <row r="35" spans="1:7" ht="14.4" customHeight="1" x14ac:dyDescent="0.3">
      <c r="A35" s="84"/>
      <c r="B35" s="63" t="s">
        <v>149</v>
      </c>
      <c r="C35" s="16"/>
      <c r="D35" s="65" t="s">
        <v>13</v>
      </c>
      <c r="E35" s="54" t="s">
        <v>76</v>
      </c>
      <c r="F35" s="25">
        <v>399.7</v>
      </c>
      <c r="G35" s="7">
        <f t="shared" si="2"/>
        <v>0</v>
      </c>
    </row>
    <row r="36" spans="1:7" ht="14.4" customHeight="1" x14ac:dyDescent="0.3">
      <c r="A36" s="84"/>
      <c r="B36" s="63" t="s">
        <v>150</v>
      </c>
      <c r="C36" s="16"/>
      <c r="D36" s="13" t="s">
        <v>13</v>
      </c>
      <c r="E36" s="22" t="s">
        <v>76</v>
      </c>
      <c r="F36" s="25">
        <v>447.6</v>
      </c>
      <c r="G36" s="7">
        <f t="shared" si="2"/>
        <v>0</v>
      </c>
    </row>
    <row r="37" spans="1:7" ht="14.4" customHeight="1" x14ac:dyDescent="0.3">
      <c r="A37" s="84"/>
      <c r="B37" s="63" t="s">
        <v>151</v>
      </c>
      <c r="C37" s="21"/>
      <c r="D37" s="13" t="s">
        <v>13</v>
      </c>
      <c r="E37" s="22" t="s">
        <v>76</v>
      </c>
      <c r="F37" s="25">
        <v>399.7</v>
      </c>
      <c r="G37" s="7">
        <f>SUM(C38*F37)</f>
        <v>0</v>
      </c>
    </row>
    <row r="38" spans="1:7" ht="14.4" customHeight="1" x14ac:dyDescent="0.3">
      <c r="A38" s="84"/>
      <c r="B38" s="63" t="s">
        <v>16</v>
      </c>
      <c r="C38" s="16"/>
      <c r="D38" s="13" t="s">
        <v>13</v>
      </c>
      <c r="E38" s="22" t="s">
        <v>76</v>
      </c>
      <c r="F38" s="25">
        <v>447.6</v>
      </c>
      <c r="G38" s="7">
        <f>SUM(C39*F38)</f>
        <v>0</v>
      </c>
    </row>
    <row r="39" spans="1:7" ht="23.7" customHeight="1" x14ac:dyDescent="0.3">
      <c r="A39" s="84"/>
      <c r="B39" s="63" t="s">
        <v>17</v>
      </c>
      <c r="C39" s="16"/>
      <c r="D39" s="13" t="s">
        <v>117</v>
      </c>
      <c r="E39" s="22" t="s">
        <v>76</v>
      </c>
      <c r="F39" s="25">
        <v>482.36</v>
      </c>
      <c r="G39" s="7">
        <f t="shared" ref="G39:G45" si="3">SUM(C39*F39)</f>
        <v>0</v>
      </c>
    </row>
    <row r="40" spans="1:7" ht="14.4" customHeight="1" x14ac:dyDescent="0.3">
      <c r="A40" s="84"/>
      <c r="B40" s="63" t="s">
        <v>18</v>
      </c>
      <c r="C40" s="16"/>
      <c r="D40" s="13" t="s">
        <v>19</v>
      </c>
      <c r="E40" s="22" t="s">
        <v>76</v>
      </c>
      <c r="F40" s="25">
        <v>340.5</v>
      </c>
      <c r="G40" s="7">
        <f t="shared" si="3"/>
        <v>0</v>
      </c>
    </row>
    <row r="41" spans="1:7" ht="14.4" customHeight="1" x14ac:dyDescent="0.3">
      <c r="A41" s="84"/>
      <c r="B41" s="63" t="s">
        <v>20</v>
      </c>
      <c r="C41" s="16"/>
      <c r="D41" s="13" t="s">
        <v>19</v>
      </c>
      <c r="E41" s="22" t="s">
        <v>76</v>
      </c>
      <c r="F41" s="25">
        <v>385.05</v>
      </c>
      <c r="G41" s="7">
        <f t="shared" si="3"/>
        <v>0</v>
      </c>
    </row>
    <row r="42" spans="1:7" ht="14.4" customHeight="1" x14ac:dyDescent="0.3">
      <c r="A42" s="84"/>
      <c r="B42" s="63" t="s">
        <v>21</v>
      </c>
      <c r="C42" s="16"/>
      <c r="D42" s="13" t="s">
        <v>22</v>
      </c>
      <c r="E42" s="22" t="s">
        <v>76</v>
      </c>
      <c r="F42" s="25">
        <v>301.44</v>
      </c>
      <c r="G42" s="7">
        <f t="shared" si="3"/>
        <v>0</v>
      </c>
    </row>
    <row r="43" spans="1:7" ht="14.7" customHeight="1" x14ac:dyDescent="0.3">
      <c r="A43" s="84"/>
      <c r="B43" s="63" t="s">
        <v>23</v>
      </c>
      <c r="C43" s="16"/>
      <c r="D43" s="13" t="s">
        <v>22</v>
      </c>
      <c r="E43" s="22" t="s">
        <v>76</v>
      </c>
      <c r="F43" s="25">
        <v>366.42</v>
      </c>
      <c r="G43" s="7">
        <f t="shared" si="3"/>
        <v>0</v>
      </c>
    </row>
    <row r="44" spans="1:7" ht="14.7" customHeight="1" x14ac:dyDescent="0.3">
      <c r="A44" s="84"/>
      <c r="B44" s="63" t="s">
        <v>24</v>
      </c>
      <c r="C44" s="16"/>
      <c r="D44" s="13" t="s">
        <v>22</v>
      </c>
      <c r="E44" s="22" t="s">
        <v>76</v>
      </c>
      <c r="F44" s="25">
        <v>399.7</v>
      </c>
      <c r="G44" s="7">
        <f t="shared" si="3"/>
        <v>0</v>
      </c>
    </row>
    <row r="45" spans="1:7" ht="14.7" customHeight="1" x14ac:dyDescent="0.3">
      <c r="A45" s="84"/>
      <c r="B45" s="64" t="s">
        <v>25</v>
      </c>
      <c r="C45" s="19"/>
      <c r="D45" s="66" t="s">
        <v>113</v>
      </c>
      <c r="E45" s="55" t="s">
        <v>76</v>
      </c>
      <c r="F45" s="28">
        <v>122</v>
      </c>
      <c r="G45" s="7">
        <f t="shared" si="3"/>
        <v>0</v>
      </c>
    </row>
    <row r="46" spans="1:7" ht="14.4" customHeight="1" x14ac:dyDescent="0.3">
      <c r="A46" s="51"/>
      <c r="B46" s="51"/>
      <c r="C46" s="51"/>
      <c r="D46" s="51"/>
      <c r="E46" s="51"/>
      <c r="F46" s="51"/>
      <c r="G46" s="51"/>
    </row>
    <row r="47" spans="1:7" ht="14.4" customHeight="1" x14ac:dyDescent="0.3">
      <c r="A47" s="88" t="s">
        <v>95</v>
      </c>
      <c r="B47" s="48" t="s">
        <v>1</v>
      </c>
      <c r="C47" s="31" t="s">
        <v>138</v>
      </c>
      <c r="D47" s="36"/>
      <c r="E47" s="32" t="s">
        <v>4</v>
      </c>
      <c r="F47" s="31" t="s">
        <v>3</v>
      </c>
      <c r="G47" s="31" t="s">
        <v>69</v>
      </c>
    </row>
    <row r="48" spans="1:7" ht="14.4" customHeight="1" x14ac:dyDescent="0.3">
      <c r="A48" s="88"/>
      <c r="B48" s="13" t="s">
        <v>27</v>
      </c>
      <c r="C48" s="16"/>
      <c r="D48" s="13" t="s">
        <v>79</v>
      </c>
      <c r="E48" s="22" t="s">
        <v>76</v>
      </c>
      <c r="F48" s="25">
        <v>75.400000000000006</v>
      </c>
      <c r="G48" s="7">
        <f t="shared" ref="G48:G55" si="4">SUM(C48*F48)</f>
        <v>0</v>
      </c>
    </row>
    <row r="49" spans="1:7" ht="14.4" customHeight="1" x14ac:dyDescent="0.3">
      <c r="A49" s="88"/>
      <c r="B49" s="13" t="s">
        <v>28</v>
      </c>
      <c r="C49" s="16"/>
      <c r="D49" s="13" t="s">
        <v>80</v>
      </c>
      <c r="E49" s="22" t="s">
        <v>76</v>
      </c>
      <c r="F49" s="25">
        <v>88.9</v>
      </c>
      <c r="G49" s="7">
        <f t="shared" si="4"/>
        <v>0</v>
      </c>
    </row>
    <row r="50" spans="1:7" ht="14.4" customHeight="1" x14ac:dyDescent="0.3">
      <c r="A50" s="88"/>
      <c r="B50" s="13" t="s">
        <v>29</v>
      </c>
      <c r="C50" s="16"/>
      <c r="D50" s="13" t="s">
        <v>80</v>
      </c>
      <c r="E50" s="22" t="s">
        <v>76</v>
      </c>
      <c r="F50" s="25">
        <v>133.6</v>
      </c>
      <c r="G50" s="7">
        <f t="shared" si="4"/>
        <v>0</v>
      </c>
    </row>
    <row r="51" spans="1:7" ht="14.4" customHeight="1" x14ac:dyDescent="0.3">
      <c r="A51" s="88"/>
      <c r="B51" s="61" t="s">
        <v>30</v>
      </c>
      <c r="C51" s="18"/>
      <c r="D51" s="61" t="s">
        <v>115</v>
      </c>
      <c r="E51" s="56" t="s">
        <v>76</v>
      </c>
      <c r="F51" s="26">
        <v>135.80000000000001</v>
      </c>
      <c r="G51" s="7">
        <f t="shared" si="4"/>
        <v>0</v>
      </c>
    </row>
    <row r="52" spans="1:7" ht="14.4" customHeight="1" x14ac:dyDescent="0.3">
      <c r="A52" s="88"/>
      <c r="B52" s="13" t="s">
        <v>31</v>
      </c>
      <c r="C52" s="16"/>
      <c r="D52" s="13" t="s">
        <v>114</v>
      </c>
      <c r="E52" s="22" t="s">
        <v>76</v>
      </c>
      <c r="F52" s="25">
        <v>185.12</v>
      </c>
      <c r="G52" s="7">
        <f t="shared" si="4"/>
        <v>0</v>
      </c>
    </row>
    <row r="53" spans="1:7" ht="14.4" customHeight="1" x14ac:dyDescent="0.3">
      <c r="A53" s="88"/>
      <c r="B53" s="62" t="s">
        <v>32</v>
      </c>
      <c r="C53" s="16"/>
      <c r="D53" s="13" t="s">
        <v>81</v>
      </c>
      <c r="E53" s="22" t="s">
        <v>76</v>
      </c>
      <c r="F53" s="25">
        <v>95.6</v>
      </c>
      <c r="G53" s="7">
        <f t="shared" si="4"/>
        <v>0</v>
      </c>
    </row>
    <row r="54" spans="1:7" ht="12.75" customHeight="1" x14ac:dyDescent="0.3">
      <c r="A54" s="88"/>
      <c r="B54" s="13" t="s">
        <v>118</v>
      </c>
      <c r="C54" s="16"/>
      <c r="D54" s="13" t="s">
        <v>77</v>
      </c>
      <c r="E54" s="22" t="s">
        <v>76</v>
      </c>
      <c r="F54" s="27">
        <v>78.14</v>
      </c>
      <c r="G54" s="7">
        <f t="shared" si="4"/>
        <v>0</v>
      </c>
    </row>
    <row r="55" spans="1:7" ht="14.4" customHeight="1" x14ac:dyDescent="0.3">
      <c r="A55" s="88"/>
      <c r="B55" s="62" t="s">
        <v>34</v>
      </c>
      <c r="C55" s="16"/>
      <c r="D55" s="13" t="s">
        <v>78</v>
      </c>
      <c r="E55" s="22" t="s">
        <v>82</v>
      </c>
      <c r="F55" s="25">
        <v>109.68</v>
      </c>
      <c r="G55" s="7">
        <f t="shared" si="4"/>
        <v>0</v>
      </c>
    </row>
    <row r="56" spans="1:7" ht="14.4" customHeight="1" x14ac:dyDescent="0.3">
      <c r="A56" s="51"/>
      <c r="B56" s="51"/>
      <c r="C56" s="51"/>
      <c r="D56" s="51"/>
      <c r="E56" s="51"/>
      <c r="F56" s="51"/>
    </row>
    <row r="57" spans="1:7" ht="14.4" customHeight="1" x14ac:dyDescent="0.3">
      <c r="A57" s="84" t="s">
        <v>74</v>
      </c>
      <c r="B57" s="34" t="s">
        <v>1</v>
      </c>
      <c r="C57" s="35" t="s">
        <v>138</v>
      </c>
      <c r="D57" s="35" t="s">
        <v>2</v>
      </c>
      <c r="E57" s="35" t="s">
        <v>4</v>
      </c>
      <c r="F57" s="35" t="s">
        <v>3</v>
      </c>
      <c r="G57" s="31" t="s">
        <v>69</v>
      </c>
    </row>
    <row r="58" spans="1:7" ht="14.4" customHeight="1" x14ac:dyDescent="0.3">
      <c r="A58" s="84"/>
      <c r="B58" s="63" t="s">
        <v>5</v>
      </c>
      <c r="C58" s="16"/>
      <c r="D58" s="13" t="s">
        <v>6</v>
      </c>
      <c r="E58" s="22" t="s">
        <v>75</v>
      </c>
      <c r="F58" s="25">
        <v>124.5</v>
      </c>
      <c r="G58" s="7">
        <f t="shared" ref="G58:G72" si="5">SUM(C58*F58)</f>
        <v>0</v>
      </c>
    </row>
    <row r="59" spans="1:7" ht="14.4" customHeight="1" x14ac:dyDescent="0.3">
      <c r="A59" s="84"/>
      <c r="B59" s="63" t="s">
        <v>5</v>
      </c>
      <c r="C59" s="16"/>
      <c r="D59" s="13" t="s">
        <v>7</v>
      </c>
      <c r="E59" s="22" t="s">
        <v>75</v>
      </c>
      <c r="F59" s="25">
        <v>159</v>
      </c>
      <c r="G59" s="7">
        <f t="shared" si="5"/>
        <v>0</v>
      </c>
    </row>
    <row r="60" spans="1:7" ht="14.4" customHeight="1" x14ac:dyDescent="0.3">
      <c r="A60" s="84"/>
      <c r="B60" s="63" t="s">
        <v>8</v>
      </c>
      <c r="C60" s="16"/>
      <c r="D60" s="13" t="s">
        <v>9</v>
      </c>
      <c r="E60" s="22" t="s">
        <v>76</v>
      </c>
      <c r="F60" s="25">
        <v>149.32</v>
      </c>
      <c r="G60" s="7">
        <f t="shared" si="5"/>
        <v>0</v>
      </c>
    </row>
    <row r="61" spans="1:7" ht="14.4" customHeight="1" x14ac:dyDescent="0.3">
      <c r="A61" s="84"/>
      <c r="B61" s="63" t="s">
        <v>10</v>
      </c>
      <c r="C61" s="16"/>
      <c r="D61" s="65" t="s">
        <v>11</v>
      </c>
      <c r="E61" s="54" t="s">
        <v>75</v>
      </c>
      <c r="F61" s="25">
        <v>113.85</v>
      </c>
      <c r="G61" s="7">
        <f t="shared" si="5"/>
        <v>0</v>
      </c>
    </row>
    <row r="62" spans="1:7" ht="14.4" customHeight="1" x14ac:dyDescent="0.3">
      <c r="A62" s="84"/>
      <c r="B62" s="63" t="s">
        <v>12</v>
      </c>
      <c r="C62" s="16"/>
      <c r="D62" s="65" t="s">
        <v>13</v>
      </c>
      <c r="E62" s="54" t="s">
        <v>76</v>
      </c>
      <c r="F62" s="25">
        <v>490</v>
      </c>
      <c r="G62" s="7">
        <f t="shared" si="5"/>
        <v>0</v>
      </c>
    </row>
    <row r="63" spans="1:7" ht="14.4" customHeight="1" x14ac:dyDescent="0.3">
      <c r="A63" s="84"/>
      <c r="B63" s="63" t="s">
        <v>14</v>
      </c>
      <c r="C63" s="16"/>
      <c r="D63" s="13" t="s">
        <v>13</v>
      </c>
      <c r="E63" s="22" t="s">
        <v>76</v>
      </c>
      <c r="F63" s="25">
        <v>550</v>
      </c>
      <c r="G63" s="7">
        <f t="shared" si="5"/>
        <v>0</v>
      </c>
    </row>
    <row r="64" spans="1:7" ht="14.4" customHeight="1" x14ac:dyDescent="0.3">
      <c r="A64" s="84"/>
      <c r="B64" s="63" t="s">
        <v>15</v>
      </c>
      <c r="C64" s="16"/>
      <c r="D64" s="13" t="s">
        <v>13</v>
      </c>
      <c r="E64" s="22" t="s">
        <v>76</v>
      </c>
      <c r="F64" s="25">
        <v>490</v>
      </c>
      <c r="G64" s="7">
        <f t="shared" si="5"/>
        <v>0</v>
      </c>
    </row>
    <row r="65" spans="1:7" x14ac:dyDescent="0.3">
      <c r="A65" s="84"/>
      <c r="B65" s="63" t="s">
        <v>16</v>
      </c>
      <c r="C65" s="16"/>
      <c r="D65" s="13" t="s">
        <v>13</v>
      </c>
      <c r="E65" s="22" t="s">
        <v>76</v>
      </c>
      <c r="F65" s="25">
        <v>550</v>
      </c>
      <c r="G65" s="7">
        <f t="shared" si="5"/>
        <v>0</v>
      </c>
    </row>
    <row r="66" spans="1:7" ht="25.95" customHeight="1" x14ac:dyDescent="0.3">
      <c r="A66" s="84"/>
      <c r="B66" s="63" t="s">
        <v>17</v>
      </c>
      <c r="C66" s="16"/>
      <c r="D66" s="13" t="s">
        <v>117</v>
      </c>
      <c r="E66" s="22" t="s">
        <v>76</v>
      </c>
      <c r="F66" s="25">
        <v>695</v>
      </c>
      <c r="G66" s="7">
        <f t="shared" si="5"/>
        <v>0</v>
      </c>
    </row>
    <row r="67" spans="1:7" ht="14.4" customHeight="1" x14ac:dyDescent="0.3">
      <c r="A67" s="84"/>
      <c r="B67" s="63" t="s">
        <v>18</v>
      </c>
      <c r="C67" s="16"/>
      <c r="D67" s="13" t="s">
        <v>19</v>
      </c>
      <c r="E67" s="22" t="s">
        <v>76</v>
      </c>
      <c r="F67" s="25">
        <v>410</v>
      </c>
      <c r="G67" s="7">
        <f t="shared" si="5"/>
        <v>0</v>
      </c>
    </row>
    <row r="68" spans="1:7" ht="14.4" customHeight="1" x14ac:dyDescent="0.3">
      <c r="A68" s="84"/>
      <c r="B68" s="63" t="s">
        <v>20</v>
      </c>
      <c r="C68" s="16"/>
      <c r="D68" s="13" t="s">
        <v>19</v>
      </c>
      <c r="E68" s="22" t="s">
        <v>76</v>
      </c>
      <c r="F68" s="25">
        <v>495</v>
      </c>
      <c r="G68" s="7">
        <f t="shared" si="5"/>
        <v>0</v>
      </c>
    </row>
    <row r="69" spans="1:7" ht="14.4" customHeight="1" x14ac:dyDescent="0.3">
      <c r="A69" s="84"/>
      <c r="B69" s="63" t="s">
        <v>21</v>
      </c>
      <c r="C69" s="16"/>
      <c r="D69" s="13" t="s">
        <v>22</v>
      </c>
      <c r="E69" s="22" t="s">
        <v>76</v>
      </c>
      <c r="F69" s="25">
        <v>399</v>
      </c>
      <c r="G69" s="7">
        <f t="shared" si="5"/>
        <v>0</v>
      </c>
    </row>
    <row r="70" spans="1:7" ht="14.4" customHeight="1" x14ac:dyDescent="0.3">
      <c r="A70" s="84"/>
      <c r="B70" s="63" t="s">
        <v>23</v>
      </c>
      <c r="C70" s="16"/>
      <c r="D70" s="13" t="s">
        <v>22</v>
      </c>
      <c r="E70" s="22" t="s">
        <v>76</v>
      </c>
      <c r="F70" s="25">
        <v>435</v>
      </c>
      <c r="G70" s="7">
        <f t="shared" si="5"/>
        <v>0</v>
      </c>
    </row>
    <row r="71" spans="1:7" ht="14.4" customHeight="1" x14ac:dyDescent="0.3">
      <c r="A71" s="84"/>
      <c r="B71" s="63" t="s">
        <v>24</v>
      </c>
      <c r="C71" s="16"/>
      <c r="D71" s="13" t="s">
        <v>116</v>
      </c>
      <c r="E71" s="22" t="s">
        <v>76</v>
      </c>
      <c r="F71" s="25">
        <v>560</v>
      </c>
      <c r="G71" s="7">
        <f t="shared" si="5"/>
        <v>0</v>
      </c>
    </row>
    <row r="72" spans="1:7" ht="14.4" customHeight="1" x14ac:dyDescent="0.3">
      <c r="A72" s="84"/>
      <c r="B72" s="64" t="s">
        <v>25</v>
      </c>
      <c r="C72" s="19"/>
      <c r="D72" s="66" t="s">
        <v>113</v>
      </c>
      <c r="E72" s="55" t="s">
        <v>76</v>
      </c>
      <c r="F72" s="28">
        <v>68</v>
      </c>
      <c r="G72" s="7">
        <f t="shared" si="5"/>
        <v>0</v>
      </c>
    </row>
    <row r="73" spans="1:7" ht="17.25" customHeight="1" x14ac:dyDescent="0.3">
      <c r="A73" s="51"/>
      <c r="B73" s="51"/>
      <c r="C73" s="51"/>
      <c r="D73" s="51"/>
      <c r="E73" s="51"/>
      <c r="F73" s="51"/>
      <c r="G73" s="51"/>
    </row>
    <row r="74" spans="1:7" ht="17.25" customHeight="1" x14ac:dyDescent="0.3">
      <c r="A74" s="88" t="s">
        <v>96</v>
      </c>
      <c r="B74" s="33" t="s">
        <v>1</v>
      </c>
      <c r="C74" s="31" t="s">
        <v>138</v>
      </c>
      <c r="D74" s="38" t="s">
        <v>2</v>
      </c>
      <c r="E74" s="32" t="s">
        <v>4</v>
      </c>
      <c r="F74" s="31" t="s">
        <v>3</v>
      </c>
      <c r="G74" s="31" t="s">
        <v>69</v>
      </c>
    </row>
    <row r="75" spans="1:7" ht="13.95" customHeight="1" x14ac:dyDescent="0.3">
      <c r="A75" s="88"/>
      <c r="B75" s="13" t="s">
        <v>27</v>
      </c>
      <c r="C75" s="16"/>
      <c r="D75" s="13" t="s">
        <v>79</v>
      </c>
      <c r="E75" s="22" t="s">
        <v>76</v>
      </c>
      <c r="F75" s="25">
        <v>108.74</v>
      </c>
      <c r="G75" s="7">
        <f t="shared" ref="G75:G82" si="6">SUM(C75*F75)</f>
        <v>0</v>
      </c>
    </row>
    <row r="76" spans="1:7" ht="12" customHeight="1" x14ac:dyDescent="0.3">
      <c r="A76" s="88"/>
      <c r="B76" s="13" t="s">
        <v>28</v>
      </c>
      <c r="C76" s="16"/>
      <c r="D76" s="13" t="s">
        <v>80</v>
      </c>
      <c r="E76" s="22" t="s">
        <v>76</v>
      </c>
      <c r="F76" s="25">
        <v>128.22</v>
      </c>
      <c r="G76" s="7">
        <f t="shared" si="6"/>
        <v>0</v>
      </c>
    </row>
    <row r="77" spans="1:7" ht="13.95" customHeight="1" x14ac:dyDescent="0.3">
      <c r="A77" s="88"/>
      <c r="B77" s="13" t="s">
        <v>29</v>
      </c>
      <c r="C77" s="16"/>
      <c r="D77" s="13" t="s">
        <v>80</v>
      </c>
      <c r="E77" s="22" t="s">
        <v>76</v>
      </c>
      <c r="F77" s="25">
        <v>192.69</v>
      </c>
      <c r="G77" s="7">
        <f t="shared" si="6"/>
        <v>0</v>
      </c>
    </row>
    <row r="78" spans="1:7" ht="12.45" customHeight="1" x14ac:dyDescent="0.3">
      <c r="A78" s="88"/>
      <c r="B78" s="61" t="s">
        <v>30</v>
      </c>
      <c r="C78" s="18"/>
      <c r="D78" s="61" t="s">
        <v>125</v>
      </c>
      <c r="E78" s="56" t="s">
        <v>76</v>
      </c>
      <c r="F78" s="26">
        <v>195.87</v>
      </c>
      <c r="G78" s="7">
        <f t="shared" si="6"/>
        <v>0</v>
      </c>
    </row>
    <row r="79" spans="1:7" ht="13.5" customHeight="1" x14ac:dyDescent="0.3">
      <c r="A79" s="88"/>
      <c r="B79" s="13" t="s">
        <v>31</v>
      </c>
      <c r="C79" s="16"/>
      <c r="D79" s="13" t="s">
        <v>114</v>
      </c>
      <c r="E79" s="22" t="s">
        <v>76</v>
      </c>
      <c r="F79" s="25">
        <v>266.99</v>
      </c>
      <c r="G79" s="7">
        <f t="shared" si="6"/>
        <v>0</v>
      </c>
    </row>
    <row r="80" spans="1:7" ht="12.75" customHeight="1" x14ac:dyDescent="0.3">
      <c r="A80" s="88"/>
      <c r="B80" s="62" t="s">
        <v>32</v>
      </c>
      <c r="C80" s="16"/>
      <c r="D80" s="13" t="s">
        <v>81</v>
      </c>
      <c r="E80" s="22" t="s">
        <v>76</v>
      </c>
      <c r="F80" s="25">
        <v>137.88</v>
      </c>
      <c r="G80" s="7">
        <f t="shared" si="6"/>
        <v>0</v>
      </c>
    </row>
    <row r="81" spans="1:8" ht="12.75" customHeight="1" x14ac:dyDescent="0.3">
      <c r="A81" s="88"/>
      <c r="B81" s="13" t="s">
        <v>118</v>
      </c>
      <c r="C81" s="16"/>
      <c r="D81" s="13" t="s">
        <v>77</v>
      </c>
      <c r="E81" s="22" t="s">
        <v>76</v>
      </c>
      <c r="F81" s="27">
        <v>78.14</v>
      </c>
      <c r="G81" s="7">
        <f t="shared" si="6"/>
        <v>0</v>
      </c>
    </row>
    <row r="82" spans="1:8" ht="14.4" customHeight="1" x14ac:dyDescent="0.3">
      <c r="A82" s="88"/>
      <c r="B82" s="62" t="s">
        <v>34</v>
      </c>
      <c r="C82" s="16"/>
      <c r="D82" s="13" t="s">
        <v>78</v>
      </c>
      <c r="E82" s="22" t="s">
        <v>82</v>
      </c>
      <c r="F82" s="25">
        <v>158.19</v>
      </c>
      <c r="G82" s="7">
        <f t="shared" si="6"/>
        <v>0</v>
      </c>
      <c r="H82" s="6"/>
    </row>
    <row r="83" spans="1:8" ht="14.4" customHeight="1" x14ac:dyDescent="0.3">
      <c r="A83" s="51"/>
      <c r="B83" s="51"/>
      <c r="C83" s="51"/>
      <c r="D83" s="51"/>
      <c r="E83" s="51"/>
      <c r="F83" s="51"/>
      <c r="G83" s="51"/>
    </row>
    <row r="84" spans="1:8" ht="14.4" customHeight="1" x14ac:dyDescent="0.3">
      <c r="A84" s="90" t="s">
        <v>112</v>
      </c>
      <c r="B84" s="37" t="s">
        <v>1</v>
      </c>
      <c r="C84" s="38" t="s">
        <v>138</v>
      </c>
      <c r="D84" s="38" t="s">
        <v>2</v>
      </c>
      <c r="E84" s="38" t="s">
        <v>4</v>
      </c>
      <c r="F84" s="38" t="s">
        <v>3</v>
      </c>
      <c r="G84" s="31" t="s">
        <v>69</v>
      </c>
    </row>
    <row r="85" spans="1:8" ht="14.4" customHeight="1" x14ac:dyDescent="0.3">
      <c r="A85" s="91"/>
      <c r="B85" s="13" t="s">
        <v>255</v>
      </c>
      <c r="C85" s="20"/>
      <c r="D85" s="13" t="s">
        <v>35</v>
      </c>
      <c r="E85" s="22" t="s">
        <v>104</v>
      </c>
      <c r="F85" s="29">
        <v>175</v>
      </c>
      <c r="G85" s="8">
        <f t="shared" ref="G85:G94" si="7">SUM(C85*F85)</f>
        <v>0</v>
      </c>
    </row>
    <row r="86" spans="1:8" ht="14.4" customHeight="1" x14ac:dyDescent="0.3">
      <c r="A86" s="91"/>
      <c r="B86" s="13" t="s">
        <v>254</v>
      </c>
      <c r="C86" s="20"/>
      <c r="D86" s="13" t="s">
        <v>35</v>
      </c>
      <c r="E86" s="22" t="s">
        <v>104</v>
      </c>
      <c r="F86" s="25">
        <v>225</v>
      </c>
      <c r="G86" s="8">
        <f>SUM(C86*F86)</f>
        <v>0</v>
      </c>
    </row>
    <row r="87" spans="1:8" ht="14.4" customHeight="1" x14ac:dyDescent="0.3">
      <c r="A87" s="91"/>
      <c r="B87" s="13" t="s">
        <v>256</v>
      </c>
      <c r="C87" s="20"/>
      <c r="D87" s="13" t="s">
        <v>35</v>
      </c>
      <c r="E87" s="22" t="s">
        <v>104</v>
      </c>
      <c r="F87" s="29">
        <v>175</v>
      </c>
      <c r="G87" s="8">
        <f t="shared" si="7"/>
        <v>0</v>
      </c>
    </row>
    <row r="88" spans="1:8" ht="14.4" customHeight="1" x14ac:dyDescent="0.3">
      <c r="A88" s="91"/>
      <c r="B88" s="13" t="s">
        <v>257</v>
      </c>
      <c r="C88" s="20"/>
      <c r="D88" s="13" t="s">
        <v>35</v>
      </c>
      <c r="E88" s="22" t="s">
        <v>104</v>
      </c>
      <c r="F88" s="29">
        <v>241.92</v>
      </c>
      <c r="G88" s="8">
        <f t="shared" si="7"/>
        <v>0</v>
      </c>
    </row>
    <row r="89" spans="1:8" ht="14.4" customHeight="1" x14ac:dyDescent="0.3">
      <c r="A89" s="91"/>
      <c r="B89" s="13" t="s">
        <v>259</v>
      </c>
      <c r="C89" s="20"/>
      <c r="D89" s="58" t="s">
        <v>35</v>
      </c>
      <c r="E89" s="22" t="s">
        <v>104</v>
      </c>
      <c r="F89" s="29">
        <v>291.92</v>
      </c>
      <c r="G89" s="8">
        <f t="shared" si="7"/>
        <v>0</v>
      </c>
    </row>
    <row r="90" spans="1:8" ht="14.4" customHeight="1" x14ac:dyDescent="0.3">
      <c r="A90" s="91"/>
      <c r="B90" s="13" t="s">
        <v>258</v>
      </c>
      <c r="C90" s="20"/>
      <c r="D90" s="58" t="s">
        <v>35</v>
      </c>
      <c r="E90" s="22" t="s">
        <v>104</v>
      </c>
      <c r="F90" s="29">
        <v>285.89</v>
      </c>
      <c r="G90" s="8">
        <f t="shared" si="7"/>
        <v>0</v>
      </c>
    </row>
    <row r="91" spans="1:8" ht="14.4" customHeight="1" x14ac:dyDescent="0.3">
      <c r="A91" s="91"/>
      <c r="B91" s="13" t="s">
        <v>260</v>
      </c>
      <c r="C91" s="20"/>
      <c r="D91" s="58" t="s">
        <v>35</v>
      </c>
      <c r="E91" s="22" t="s">
        <v>104</v>
      </c>
      <c r="F91" s="29">
        <v>335.89</v>
      </c>
      <c r="G91" s="8">
        <f t="shared" si="7"/>
        <v>0</v>
      </c>
    </row>
    <row r="92" spans="1:8" ht="14.4" customHeight="1" x14ac:dyDescent="0.3">
      <c r="A92" s="91"/>
      <c r="B92" s="13" t="s">
        <v>261</v>
      </c>
      <c r="C92" s="20"/>
      <c r="D92" s="58" t="s">
        <v>35</v>
      </c>
      <c r="E92" s="22" t="s">
        <v>104</v>
      </c>
      <c r="F92" s="29">
        <v>90.72</v>
      </c>
      <c r="G92" s="8">
        <f t="shared" si="7"/>
        <v>0</v>
      </c>
    </row>
    <row r="93" spans="1:8" ht="14.4" customHeight="1" x14ac:dyDescent="0.3">
      <c r="A93" s="91"/>
      <c r="B93" s="13" t="s">
        <v>243</v>
      </c>
      <c r="C93" s="20"/>
      <c r="D93" s="58" t="s">
        <v>35</v>
      </c>
      <c r="E93" s="22" t="s">
        <v>83</v>
      </c>
      <c r="F93" s="29">
        <v>0</v>
      </c>
      <c r="G93" s="8">
        <f t="shared" si="7"/>
        <v>0</v>
      </c>
    </row>
    <row r="94" spans="1:8" ht="14.4" customHeight="1" x14ac:dyDescent="0.3">
      <c r="A94" s="91"/>
      <c r="B94" s="13" t="s">
        <v>101</v>
      </c>
      <c r="C94" s="20"/>
      <c r="D94" s="13" t="s">
        <v>103</v>
      </c>
      <c r="E94" s="22" t="s">
        <v>104</v>
      </c>
      <c r="F94" s="29">
        <v>440</v>
      </c>
      <c r="G94" s="8">
        <f t="shared" si="7"/>
        <v>0</v>
      </c>
    </row>
    <row r="95" spans="1:8" ht="14.4" customHeight="1" x14ac:dyDescent="0.3">
      <c r="A95" s="91"/>
      <c r="B95" s="13" t="s">
        <v>102</v>
      </c>
      <c r="C95" s="20"/>
      <c r="D95" s="13" t="s">
        <v>103</v>
      </c>
      <c r="E95" s="22" t="s">
        <v>104</v>
      </c>
      <c r="F95" s="29">
        <v>550</v>
      </c>
      <c r="G95" s="8">
        <f t="shared" ref="G95:G108" si="8">SUM(C95*F95)</f>
        <v>0</v>
      </c>
    </row>
    <row r="96" spans="1:8" ht="14.4" customHeight="1" x14ac:dyDescent="0.3">
      <c r="A96" s="91"/>
      <c r="B96" s="13" t="s">
        <v>146</v>
      </c>
      <c r="C96" s="16"/>
      <c r="D96" s="13" t="s">
        <v>98</v>
      </c>
      <c r="E96" s="22" t="s">
        <v>104</v>
      </c>
      <c r="F96" s="25">
        <v>110</v>
      </c>
      <c r="G96" s="8">
        <f t="shared" si="8"/>
        <v>0</v>
      </c>
    </row>
    <row r="97" spans="1:7" ht="14.4" customHeight="1" x14ac:dyDescent="0.3">
      <c r="A97" s="91"/>
      <c r="B97" s="13" t="s">
        <v>108</v>
      </c>
      <c r="C97" s="20"/>
      <c r="D97" s="13" t="s">
        <v>110</v>
      </c>
      <c r="E97" s="22" t="s">
        <v>104</v>
      </c>
      <c r="F97" s="29">
        <v>210</v>
      </c>
      <c r="G97" s="8">
        <f t="shared" si="8"/>
        <v>0</v>
      </c>
    </row>
    <row r="98" spans="1:7" ht="14.4" customHeight="1" x14ac:dyDescent="0.3">
      <c r="A98" s="91"/>
      <c r="B98" s="13" t="s">
        <v>109</v>
      </c>
      <c r="C98" s="20"/>
      <c r="D98" s="13" t="s">
        <v>110</v>
      </c>
      <c r="E98" s="22" t="s">
        <v>104</v>
      </c>
      <c r="F98" s="29">
        <v>362.5</v>
      </c>
      <c r="G98" s="8">
        <f t="shared" si="8"/>
        <v>0</v>
      </c>
    </row>
    <row r="99" spans="1:7" ht="14.4" customHeight="1" x14ac:dyDescent="0.3">
      <c r="A99" s="91"/>
      <c r="B99" s="13" t="s">
        <v>122</v>
      </c>
      <c r="C99" s="20"/>
      <c r="D99" s="13" t="s">
        <v>110</v>
      </c>
      <c r="E99" s="22" t="s">
        <v>104</v>
      </c>
      <c r="F99" s="29">
        <v>465</v>
      </c>
      <c r="G99" s="8">
        <f t="shared" si="8"/>
        <v>0</v>
      </c>
    </row>
    <row r="100" spans="1:7" ht="14.4" customHeight="1" x14ac:dyDescent="0.3">
      <c r="A100" s="91"/>
      <c r="B100" s="13" t="s">
        <v>147</v>
      </c>
      <c r="C100" s="20"/>
      <c r="D100" s="13" t="s">
        <v>110</v>
      </c>
      <c r="E100" s="22" t="s">
        <v>104</v>
      </c>
      <c r="F100" s="29">
        <v>550</v>
      </c>
      <c r="G100" s="8">
        <f t="shared" si="8"/>
        <v>0</v>
      </c>
    </row>
    <row r="101" spans="1:7" ht="14.4" customHeight="1" x14ac:dyDescent="0.3">
      <c r="A101" s="91"/>
      <c r="B101" s="13" t="s">
        <v>106</v>
      </c>
      <c r="C101" s="17"/>
      <c r="D101" s="13" t="s">
        <v>97</v>
      </c>
      <c r="E101" s="22" t="s">
        <v>104</v>
      </c>
      <c r="F101" s="25">
        <v>230</v>
      </c>
      <c r="G101" s="8">
        <f t="shared" si="8"/>
        <v>0</v>
      </c>
    </row>
    <row r="102" spans="1:7" ht="14.4" customHeight="1" x14ac:dyDescent="0.3">
      <c r="A102" s="91"/>
      <c r="B102" s="13" t="s">
        <v>107</v>
      </c>
      <c r="C102" s="16"/>
      <c r="D102" s="13" t="s">
        <v>97</v>
      </c>
      <c r="E102" s="22" t="s">
        <v>104</v>
      </c>
      <c r="F102" s="25">
        <v>300</v>
      </c>
      <c r="G102" s="8">
        <f t="shared" si="8"/>
        <v>0</v>
      </c>
    </row>
    <row r="103" spans="1:7" ht="14.4" customHeight="1" x14ac:dyDescent="0.3">
      <c r="A103" s="91"/>
      <c r="B103" s="13" t="s">
        <v>148</v>
      </c>
      <c r="C103" s="16"/>
      <c r="D103" s="13" t="s">
        <v>98</v>
      </c>
      <c r="E103" s="22" t="s">
        <v>104</v>
      </c>
      <c r="F103" s="25">
        <v>80</v>
      </c>
      <c r="G103" s="8">
        <f t="shared" si="8"/>
        <v>0</v>
      </c>
    </row>
    <row r="104" spans="1:7" ht="14.4" customHeight="1" x14ac:dyDescent="0.3">
      <c r="A104" s="91"/>
      <c r="B104" s="13" t="s">
        <v>105</v>
      </c>
      <c r="C104" s="17"/>
      <c r="D104" s="13" t="s">
        <v>97</v>
      </c>
      <c r="E104" s="22" t="s">
        <v>104</v>
      </c>
      <c r="F104" s="25">
        <v>380</v>
      </c>
      <c r="G104" s="8">
        <f t="shared" ref="G104:G105" si="9">SUM(C104*F104)</f>
        <v>0</v>
      </c>
    </row>
    <row r="105" spans="1:7" ht="14.4" customHeight="1" x14ac:dyDescent="0.3">
      <c r="A105" s="91"/>
      <c r="B105" s="13" t="s">
        <v>145</v>
      </c>
      <c r="C105" s="17"/>
      <c r="D105" s="13" t="s">
        <v>97</v>
      </c>
      <c r="E105" s="22" t="s">
        <v>104</v>
      </c>
      <c r="F105" s="25">
        <v>430</v>
      </c>
      <c r="G105" s="8">
        <f t="shared" si="9"/>
        <v>0</v>
      </c>
    </row>
    <row r="106" spans="1:7" ht="14.4" customHeight="1" x14ac:dyDescent="0.3">
      <c r="A106" s="91"/>
      <c r="B106" s="13" t="s">
        <v>99</v>
      </c>
      <c r="C106" s="16"/>
      <c r="D106" s="13" t="s">
        <v>97</v>
      </c>
      <c r="E106" s="22" t="s">
        <v>104</v>
      </c>
      <c r="F106" s="25">
        <v>280</v>
      </c>
      <c r="G106" s="8">
        <f t="shared" si="8"/>
        <v>0</v>
      </c>
    </row>
    <row r="107" spans="1:7" ht="14.4" customHeight="1" x14ac:dyDescent="0.3">
      <c r="A107" s="91"/>
      <c r="B107" s="13" t="s">
        <v>100</v>
      </c>
      <c r="C107" s="16"/>
      <c r="D107" s="13" t="s">
        <v>97</v>
      </c>
      <c r="E107" s="22" t="s">
        <v>104</v>
      </c>
      <c r="F107" s="25">
        <v>350</v>
      </c>
      <c r="G107" s="8">
        <f t="shared" ref="G107" si="10">SUM(C107*F107)</f>
        <v>0</v>
      </c>
    </row>
    <row r="108" spans="1:7" ht="14.4" customHeight="1" x14ac:dyDescent="0.3">
      <c r="A108" s="91"/>
      <c r="B108" s="13" t="s">
        <v>124</v>
      </c>
      <c r="C108" s="16"/>
      <c r="D108" s="13" t="s">
        <v>123</v>
      </c>
      <c r="E108" s="22" t="s">
        <v>104</v>
      </c>
      <c r="F108" s="25">
        <v>150</v>
      </c>
      <c r="G108" s="8">
        <f t="shared" si="8"/>
        <v>0</v>
      </c>
    </row>
    <row r="109" spans="1:7" ht="14.4" customHeight="1" x14ac:dyDescent="0.3">
      <c r="A109" s="51"/>
      <c r="B109" s="60"/>
      <c r="C109" s="51"/>
      <c r="D109" s="51"/>
      <c r="E109" s="51"/>
      <c r="F109" s="51"/>
      <c r="G109" s="51"/>
    </row>
    <row r="110" spans="1:7" ht="14.4" customHeight="1" x14ac:dyDescent="0.3">
      <c r="A110" s="86" t="s">
        <v>111</v>
      </c>
      <c r="B110" s="37" t="s">
        <v>1</v>
      </c>
      <c r="C110" s="38" t="s">
        <v>138</v>
      </c>
      <c r="D110" s="38" t="s">
        <v>2</v>
      </c>
      <c r="E110" s="38" t="s">
        <v>4</v>
      </c>
      <c r="F110" s="38" t="s">
        <v>3</v>
      </c>
      <c r="G110" s="31" t="s">
        <v>69</v>
      </c>
    </row>
    <row r="111" spans="1:7" ht="14.4" customHeight="1" x14ac:dyDescent="0.3">
      <c r="A111" s="86"/>
      <c r="B111" s="13" t="s">
        <v>185</v>
      </c>
      <c r="C111" s="20"/>
      <c r="D111" s="59" t="s">
        <v>181</v>
      </c>
      <c r="E111" s="57" t="s">
        <v>84</v>
      </c>
      <c r="F111" s="29">
        <v>400</v>
      </c>
      <c r="G111" s="4">
        <f t="shared" ref="G111:G122" si="11">SUM(C111*F111)</f>
        <v>0</v>
      </c>
    </row>
    <row r="112" spans="1:7" x14ac:dyDescent="0.3">
      <c r="A112" s="86"/>
      <c r="B112" s="13" t="s">
        <v>186</v>
      </c>
      <c r="C112" s="20"/>
      <c r="D112" s="59" t="s">
        <v>181</v>
      </c>
      <c r="E112" s="57" t="s">
        <v>84</v>
      </c>
      <c r="F112" s="29">
        <v>430</v>
      </c>
      <c r="G112" s="4">
        <f t="shared" si="11"/>
        <v>0</v>
      </c>
    </row>
    <row r="113" spans="1:7" x14ac:dyDescent="0.3">
      <c r="A113" s="86"/>
      <c r="B113" s="13" t="s">
        <v>244</v>
      </c>
      <c r="C113" s="20"/>
      <c r="D113" s="59" t="s">
        <v>182</v>
      </c>
      <c r="E113" s="57" t="s">
        <v>84</v>
      </c>
      <c r="F113" s="29">
        <v>480</v>
      </c>
      <c r="G113" s="4">
        <f t="shared" si="11"/>
        <v>0</v>
      </c>
    </row>
    <row r="114" spans="1:7" ht="14.4" customHeight="1" x14ac:dyDescent="0.3">
      <c r="A114" s="86"/>
      <c r="B114" s="13" t="s">
        <v>245</v>
      </c>
      <c r="C114" s="20"/>
      <c r="D114" s="59" t="s">
        <v>182</v>
      </c>
      <c r="E114" s="57" t="s">
        <v>84</v>
      </c>
      <c r="F114" s="29">
        <v>540</v>
      </c>
      <c r="G114" s="4">
        <f t="shared" si="11"/>
        <v>0</v>
      </c>
    </row>
    <row r="115" spans="1:7" ht="14.4" customHeight="1" x14ac:dyDescent="0.3">
      <c r="A115" s="86"/>
      <c r="B115" s="13" t="s">
        <v>246</v>
      </c>
      <c r="C115" s="20"/>
      <c r="D115" s="59" t="s">
        <v>184</v>
      </c>
      <c r="E115" s="57" t="s">
        <v>84</v>
      </c>
      <c r="F115" s="29">
        <v>770</v>
      </c>
      <c r="G115" s="4">
        <f>SUM(C115*F115)</f>
        <v>0</v>
      </c>
    </row>
    <row r="116" spans="1:7" ht="14.4" customHeight="1" x14ac:dyDescent="0.3">
      <c r="A116" s="86"/>
      <c r="B116" s="13" t="s">
        <v>178</v>
      </c>
      <c r="C116" s="20"/>
      <c r="D116" s="58" t="s">
        <v>36</v>
      </c>
      <c r="E116" s="22" t="s">
        <v>85</v>
      </c>
      <c r="F116" s="29">
        <v>300</v>
      </c>
      <c r="G116" s="4">
        <f t="shared" si="11"/>
        <v>0</v>
      </c>
    </row>
    <row r="117" spans="1:7" ht="14.4" customHeight="1" x14ac:dyDescent="0.3">
      <c r="A117" s="86"/>
      <c r="B117" s="13" t="s">
        <v>179</v>
      </c>
      <c r="C117" s="20"/>
      <c r="D117" s="13" t="s">
        <v>180</v>
      </c>
      <c r="E117" s="22" t="s">
        <v>85</v>
      </c>
      <c r="F117" s="29">
        <v>470.58</v>
      </c>
      <c r="G117" s="4">
        <f t="shared" si="11"/>
        <v>0</v>
      </c>
    </row>
    <row r="118" spans="1:7" x14ac:dyDescent="0.3">
      <c r="A118" s="86"/>
      <c r="B118" s="58" t="s">
        <v>37</v>
      </c>
      <c r="C118" s="20"/>
      <c r="D118" s="59" t="s">
        <v>38</v>
      </c>
      <c r="E118" s="57" t="s">
        <v>84</v>
      </c>
      <c r="F118" s="29">
        <v>680</v>
      </c>
      <c r="G118" s="4">
        <f t="shared" si="11"/>
        <v>0</v>
      </c>
    </row>
    <row r="119" spans="1:7" x14ac:dyDescent="0.3">
      <c r="A119" s="86"/>
      <c r="B119" s="58" t="s">
        <v>39</v>
      </c>
      <c r="C119" s="20"/>
      <c r="D119" s="58" t="s">
        <v>40</v>
      </c>
      <c r="E119" s="22" t="s">
        <v>84</v>
      </c>
      <c r="F119" s="29">
        <v>0</v>
      </c>
      <c r="G119" s="4">
        <f t="shared" si="11"/>
        <v>0</v>
      </c>
    </row>
    <row r="120" spans="1:7" x14ac:dyDescent="0.3">
      <c r="A120" s="86"/>
      <c r="B120" s="58" t="s">
        <v>41</v>
      </c>
      <c r="C120" s="20"/>
      <c r="D120" s="13" t="s">
        <v>183</v>
      </c>
      <c r="E120" s="22" t="s">
        <v>85</v>
      </c>
      <c r="F120" s="29">
        <v>105</v>
      </c>
      <c r="G120" s="4">
        <f t="shared" si="11"/>
        <v>0</v>
      </c>
    </row>
    <row r="121" spans="1:7" x14ac:dyDescent="0.3">
      <c r="A121" s="86"/>
      <c r="B121" s="58" t="s">
        <v>42</v>
      </c>
      <c r="C121" s="20"/>
      <c r="D121" s="13" t="s">
        <v>183</v>
      </c>
      <c r="E121" s="22" t="s">
        <v>85</v>
      </c>
      <c r="F121" s="29">
        <v>144</v>
      </c>
      <c r="G121" s="4">
        <f t="shared" si="11"/>
        <v>0</v>
      </c>
    </row>
    <row r="122" spans="1:7" x14ac:dyDescent="0.3">
      <c r="A122" s="87"/>
      <c r="B122" s="58" t="s">
        <v>43</v>
      </c>
      <c r="C122" s="20"/>
      <c r="D122" s="58" t="s">
        <v>72</v>
      </c>
      <c r="E122" s="22" t="s">
        <v>85</v>
      </c>
      <c r="F122" s="29">
        <v>424.96</v>
      </c>
      <c r="G122" s="4">
        <f t="shared" si="11"/>
        <v>0</v>
      </c>
    </row>
    <row r="123" spans="1:7" x14ac:dyDescent="0.3">
      <c r="A123" s="51"/>
      <c r="B123" s="60"/>
      <c r="C123" s="51"/>
      <c r="D123" s="51"/>
      <c r="E123" s="51"/>
      <c r="F123" s="51"/>
      <c r="G123" s="51"/>
    </row>
    <row r="124" spans="1:7" ht="16.2" x14ac:dyDescent="0.3">
      <c r="A124" s="85" t="s">
        <v>127</v>
      </c>
      <c r="B124" s="39" t="s">
        <v>1</v>
      </c>
      <c r="C124" s="40" t="s">
        <v>138</v>
      </c>
      <c r="D124" s="40" t="s">
        <v>2</v>
      </c>
      <c r="E124" s="40" t="s">
        <v>4</v>
      </c>
      <c r="F124" s="40" t="s">
        <v>3</v>
      </c>
      <c r="G124" s="31" t="s">
        <v>69</v>
      </c>
    </row>
    <row r="125" spans="1:7" x14ac:dyDescent="0.3">
      <c r="A125" s="85"/>
      <c r="B125" s="13" t="s">
        <v>128</v>
      </c>
      <c r="C125" s="20"/>
      <c r="D125" s="13" t="s">
        <v>139</v>
      </c>
      <c r="E125" s="22" t="s">
        <v>85</v>
      </c>
      <c r="F125" s="25">
        <v>495</v>
      </c>
      <c r="G125" s="4">
        <f t="shared" ref="G125:G133" si="12">SUM(C125*F125)</f>
        <v>0</v>
      </c>
    </row>
    <row r="126" spans="1:7" x14ac:dyDescent="0.3">
      <c r="A126" s="85"/>
      <c r="B126" s="13" t="s">
        <v>129</v>
      </c>
      <c r="C126" s="20"/>
      <c r="D126" s="13" t="s">
        <v>139</v>
      </c>
      <c r="E126" s="22" t="s">
        <v>85</v>
      </c>
      <c r="F126" s="25">
        <v>595</v>
      </c>
      <c r="G126" s="4">
        <f t="shared" si="12"/>
        <v>0</v>
      </c>
    </row>
    <row r="127" spans="1:7" x14ac:dyDescent="0.3">
      <c r="A127" s="85"/>
      <c r="B127" s="13" t="s">
        <v>130</v>
      </c>
      <c r="C127" s="20"/>
      <c r="D127" s="13" t="s">
        <v>139</v>
      </c>
      <c r="E127" s="22" t="s">
        <v>85</v>
      </c>
      <c r="F127" s="25">
        <v>655</v>
      </c>
      <c r="G127" s="4">
        <f t="shared" si="12"/>
        <v>0</v>
      </c>
    </row>
    <row r="128" spans="1:7" x14ac:dyDescent="0.3">
      <c r="A128" s="85"/>
      <c r="B128" s="13" t="s">
        <v>131</v>
      </c>
      <c r="C128" s="20"/>
      <c r="D128" s="13" t="s">
        <v>139</v>
      </c>
      <c r="E128" s="22" t="s">
        <v>85</v>
      </c>
      <c r="F128" s="25">
        <v>670</v>
      </c>
      <c r="G128" s="4">
        <f t="shared" si="12"/>
        <v>0</v>
      </c>
    </row>
    <row r="129" spans="1:7" x14ac:dyDescent="0.3">
      <c r="A129" s="85"/>
      <c r="B129" s="13" t="s">
        <v>132</v>
      </c>
      <c r="C129" s="20"/>
      <c r="D129" s="13" t="s">
        <v>140</v>
      </c>
      <c r="E129" s="22" t="s">
        <v>120</v>
      </c>
      <c r="F129" s="25">
        <v>15</v>
      </c>
      <c r="G129" s="4">
        <f t="shared" si="12"/>
        <v>0</v>
      </c>
    </row>
    <row r="130" spans="1:7" x14ac:dyDescent="0.3">
      <c r="A130" s="85"/>
      <c r="B130" s="13" t="s">
        <v>133</v>
      </c>
      <c r="C130" s="20"/>
      <c r="D130" s="13" t="s">
        <v>140</v>
      </c>
      <c r="E130" s="22" t="s">
        <v>120</v>
      </c>
      <c r="F130" s="25">
        <v>35</v>
      </c>
      <c r="G130" s="4">
        <f t="shared" si="12"/>
        <v>0</v>
      </c>
    </row>
    <row r="131" spans="1:7" x14ac:dyDescent="0.3">
      <c r="A131" s="85"/>
      <c r="B131" s="13" t="s">
        <v>134</v>
      </c>
      <c r="C131" s="20"/>
      <c r="D131" s="23" t="s">
        <v>141</v>
      </c>
      <c r="E131" s="22" t="s">
        <v>120</v>
      </c>
      <c r="F131" s="25">
        <v>25</v>
      </c>
      <c r="G131" s="4">
        <f t="shared" si="12"/>
        <v>0</v>
      </c>
    </row>
    <row r="132" spans="1:7" x14ac:dyDescent="0.3">
      <c r="A132" s="85"/>
      <c r="B132" s="13" t="s">
        <v>135</v>
      </c>
      <c r="C132" s="20"/>
      <c r="D132" s="2" t="s">
        <v>142</v>
      </c>
      <c r="E132" s="22" t="s">
        <v>120</v>
      </c>
      <c r="F132" s="25">
        <v>50</v>
      </c>
      <c r="G132" s="4">
        <f t="shared" si="12"/>
        <v>0</v>
      </c>
    </row>
    <row r="133" spans="1:7" ht="24" x14ac:dyDescent="0.3">
      <c r="A133" s="85"/>
      <c r="B133" s="13" t="s">
        <v>136</v>
      </c>
      <c r="C133" s="20"/>
      <c r="D133" s="2" t="s">
        <v>143</v>
      </c>
      <c r="E133" s="22" t="s">
        <v>120</v>
      </c>
      <c r="F133" s="25">
        <v>125</v>
      </c>
      <c r="G133" s="4">
        <f t="shared" si="12"/>
        <v>0</v>
      </c>
    </row>
    <row r="134" spans="1:7" x14ac:dyDescent="0.3">
      <c r="A134" s="51"/>
      <c r="B134" s="60"/>
      <c r="C134" s="51"/>
      <c r="D134" s="51"/>
      <c r="E134" s="51"/>
      <c r="F134" s="51"/>
      <c r="G134" s="51"/>
    </row>
    <row r="135" spans="1:7" ht="16.2" x14ac:dyDescent="0.3">
      <c r="A135" s="83" t="s">
        <v>45</v>
      </c>
      <c r="B135" s="41" t="s">
        <v>1</v>
      </c>
      <c r="C135" s="42" t="s">
        <v>138</v>
      </c>
      <c r="D135" s="41" t="s">
        <v>2</v>
      </c>
      <c r="E135" s="42" t="s">
        <v>4</v>
      </c>
      <c r="F135" s="42" t="s">
        <v>3</v>
      </c>
      <c r="G135" s="31" t="s">
        <v>69</v>
      </c>
    </row>
    <row r="136" spans="1:7" ht="36" x14ac:dyDescent="0.3">
      <c r="A136" s="83"/>
      <c r="B136" s="58" t="s">
        <v>46</v>
      </c>
      <c r="C136" s="20"/>
      <c r="D136" s="13" t="s">
        <v>252</v>
      </c>
      <c r="E136" s="22" t="s">
        <v>84</v>
      </c>
      <c r="F136" s="29">
        <v>218.18</v>
      </c>
      <c r="G136" s="4">
        <f t="shared" ref="G136:G149" si="13">SUM(C136*F136)</f>
        <v>0</v>
      </c>
    </row>
    <row r="137" spans="1:7" ht="24" x14ac:dyDescent="0.3">
      <c r="A137" s="83"/>
      <c r="B137" s="13" t="s">
        <v>250</v>
      </c>
      <c r="C137" s="20"/>
      <c r="D137" s="13" t="s">
        <v>253</v>
      </c>
      <c r="E137" s="22" t="s">
        <v>84</v>
      </c>
      <c r="F137" s="29">
        <v>199.5</v>
      </c>
      <c r="G137" s="4">
        <f>SUM(C137*F137)</f>
        <v>0</v>
      </c>
    </row>
    <row r="138" spans="1:7" ht="24" x14ac:dyDescent="0.3">
      <c r="A138" s="83"/>
      <c r="B138" s="13" t="s">
        <v>251</v>
      </c>
      <c r="C138" s="20"/>
      <c r="D138" s="13" t="s">
        <v>249</v>
      </c>
      <c r="E138" s="22" t="s">
        <v>84</v>
      </c>
      <c r="F138" s="29">
        <v>300</v>
      </c>
      <c r="G138" s="4">
        <f t="shared" si="13"/>
        <v>0</v>
      </c>
    </row>
    <row r="139" spans="1:7" x14ac:dyDescent="0.3">
      <c r="A139" s="83"/>
      <c r="B139" s="58" t="s">
        <v>47</v>
      </c>
      <c r="C139" s="20"/>
      <c r="D139" s="58" t="s">
        <v>48</v>
      </c>
      <c r="E139" s="22" t="s">
        <v>86</v>
      </c>
      <c r="F139" s="29">
        <v>178.28</v>
      </c>
      <c r="G139" s="4">
        <f t="shared" si="13"/>
        <v>0</v>
      </c>
    </row>
    <row r="140" spans="1:7" x14ac:dyDescent="0.3">
      <c r="A140" s="83"/>
      <c r="B140" s="13" t="s">
        <v>73</v>
      </c>
      <c r="C140" s="20"/>
      <c r="D140" s="13" t="s">
        <v>49</v>
      </c>
      <c r="E140" s="22" t="s">
        <v>85</v>
      </c>
      <c r="F140" s="25">
        <v>536.26</v>
      </c>
      <c r="G140" s="4">
        <f t="shared" si="13"/>
        <v>0</v>
      </c>
    </row>
    <row r="141" spans="1:7" x14ac:dyDescent="0.3">
      <c r="A141" s="83"/>
      <c r="B141" s="13" t="s">
        <v>121</v>
      </c>
      <c r="C141" s="20"/>
      <c r="D141" s="13" t="s">
        <v>119</v>
      </c>
      <c r="E141" s="22" t="s">
        <v>120</v>
      </c>
      <c r="F141" s="25">
        <v>267</v>
      </c>
      <c r="G141" s="4">
        <f t="shared" si="13"/>
        <v>0</v>
      </c>
    </row>
    <row r="142" spans="1:7" ht="24.75" customHeight="1" x14ac:dyDescent="0.3">
      <c r="A142" s="83"/>
      <c r="B142" s="13" t="s">
        <v>50</v>
      </c>
      <c r="C142" s="20"/>
      <c r="D142" s="58" t="s">
        <v>51</v>
      </c>
      <c r="E142" s="22" t="s">
        <v>84</v>
      </c>
      <c r="F142" s="29">
        <v>770.9</v>
      </c>
      <c r="G142" s="4">
        <f t="shared" si="13"/>
        <v>0</v>
      </c>
    </row>
    <row r="143" spans="1:7" ht="14.4" customHeight="1" x14ac:dyDescent="0.3">
      <c r="A143" s="83"/>
      <c r="B143" s="58" t="s">
        <v>52</v>
      </c>
      <c r="C143" s="20"/>
      <c r="D143" s="58" t="s">
        <v>53</v>
      </c>
      <c r="E143" s="22" t="s">
        <v>85</v>
      </c>
      <c r="F143" s="29">
        <v>424.96</v>
      </c>
      <c r="G143" s="4">
        <f t="shared" si="13"/>
        <v>0</v>
      </c>
    </row>
    <row r="144" spans="1:7" ht="14.4" customHeight="1" x14ac:dyDescent="0.3">
      <c r="A144" s="83"/>
      <c r="B144" s="58" t="s">
        <v>54</v>
      </c>
      <c r="C144" s="20"/>
      <c r="D144" s="13" t="s">
        <v>87</v>
      </c>
      <c r="E144" s="22" t="s">
        <v>76</v>
      </c>
      <c r="F144" s="29">
        <v>50</v>
      </c>
      <c r="G144" s="4">
        <f t="shared" si="13"/>
        <v>0</v>
      </c>
    </row>
    <row r="145" spans="1:7" ht="14.4" customHeight="1" x14ac:dyDescent="0.3">
      <c r="A145" s="83"/>
      <c r="B145" s="58" t="s">
        <v>55</v>
      </c>
      <c r="C145" s="20"/>
      <c r="D145" s="13" t="s">
        <v>88</v>
      </c>
      <c r="E145" s="22" t="s">
        <v>76</v>
      </c>
      <c r="F145" s="29">
        <v>59.09</v>
      </c>
      <c r="G145" s="4">
        <f t="shared" si="13"/>
        <v>0</v>
      </c>
    </row>
    <row r="146" spans="1:7" ht="14.4" customHeight="1" x14ac:dyDescent="0.3">
      <c r="A146" s="83"/>
      <c r="B146" s="58" t="s">
        <v>56</v>
      </c>
      <c r="C146" s="20"/>
      <c r="D146" s="13" t="s">
        <v>89</v>
      </c>
      <c r="E146" s="22" t="s">
        <v>76</v>
      </c>
      <c r="F146" s="29">
        <v>60</v>
      </c>
      <c r="G146" s="4">
        <f t="shared" si="13"/>
        <v>0</v>
      </c>
    </row>
    <row r="147" spans="1:7" ht="14.4" customHeight="1" x14ac:dyDescent="0.3">
      <c r="A147" s="83"/>
      <c r="B147" s="58" t="s">
        <v>33</v>
      </c>
      <c r="C147" s="20"/>
      <c r="D147" s="13" t="s">
        <v>126</v>
      </c>
      <c r="E147" s="22" t="s">
        <v>76</v>
      </c>
      <c r="F147" s="29">
        <v>70</v>
      </c>
      <c r="G147" s="4">
        <f t="shared" si="13"/>
        <v>0</v>
      </c>
    </row>
    <row r="148" spans="1:7" ht="14.4" customHeight="1" x14ac:dyDescent="0.3">
      <c r="A148" s="83"/>
      <c r="B148" s="58" t="s">
        <v>57</v>
      </c>
      <c r="C148" s="20"/>
      <c r="D148" s="13" t="s">
        <v>90</v>
      </c>
      <c r="E148" s="22" t="s">
        <v>76</v>
      </c>
      <c r="F148" s="29">
        <v>30</v>
      </c>
      <c r="G148" s="4">
        <f t="shared" si="13"/>
        <v>0</v>
      </c>
    </row>
    <row r="149" spans="1:7" ht="14.4" customHeight="1" x14ac:dyDescent="0.3">
      <c r="A149" s="83"/>
      <c r="B149" s="58" t="s">
        <v>58</v>
      </c>
      <c r="C149" s="20"/>
      <c r="D149" s="13" t="s">
        <v>91</v>
      </c>
      <c r="E149" s="22" t="s">
        <v>76</v>
      </c>
      <c r="F149" s="29">
        <v>40</v>
      </c>
      <c r="G149" s="4">
        <f t="shared" si="13"/>
        <v>0</v>
      </c>
    </row>
    <row r="150" spans="1:7" ht="14.4" customHeight="1" x14ac:dyDescent="0.3">
      <c r="A150" s="51"/>
      <c r="B150" s="51"/>
      <c r="C150" s="51"/>
      <c r="D150" s="51"/>
      <c r="E150" s="51"/>
      <c r="F150" s="51"/>
      <c r="G150" s="51"/>
    </row>
    <row r="151" spans="1:7" ht="14.7" customHeight="1" x14ac:dyDescent="0.3">
      <c r="A151" s="98" t="s">
        <v>59</v>
      </c>
      <c r="B151" s="43" t="s">
        <v>1</v>
      </c>
      <c r="C151" s="44" t="s">
        <v>138</v>
      </c>
      <c r="D151" s="43" t="s">
        <v>2</v>
      </c>
      <c r="E151" s="44" t="s">
        <v>4</v>
      </c>
      <c r="F151" s="44" t="s">
        <v>3</v>
      </c>
      <c r="G151" s="31" t="s">
        <v>69</v>
      </c>
    </row>
    <row r="152" spans="1:7" ht="14.4" customHeight="1" x14ac:dyDescent="0.3">
      <c r="A152" s="86"/>
      <c r="B152" s="13" t="s">
        <v>60</v>
      </c>
      <c r="C152" s="20"/>
      <c r="D152" s="13" t="s">
        <v>92</v>
      </c>
      <c r="E152" s="22" t="s">
        <v>76</v>
      </c>
      <c r="F152" s="29">
        <v>192.72</v>
      </c>
      <c r="G152" s="4">
        <f t="shared" ref="G152:G161" si="14">SUM(C152*F152)</f>
        <v>0</v>
      </c>
    </row>
    <row r="153" spans="1:7" ht="14.4" customHeight="1" x14ac:dyDescent="0.3">
      <c r="A153" s="86"/>
      <c r="B153" s="58" t="s">
        <v>62</v>
      </c>
      <c r="C153" s="20"/>
      <c r="D153" s="13" t="s">
        <v>61</v>
      </c>
      <c r="E153" s="22" t="s">
        <v>76</v>
      </c>
      <c r="F153" s="29">
        <v>212.46</v>
      </c>
      <c r="G153" s="4">
        <f t="shared" si="14"/>
        <v>0</v>
      </c>
    </row>
    <row r="154" spans="1:7" ht="14.4" customHeight="1" x14ac:dyDescent="0.3">
      <c r="A154" s="86"/>
      <c r="B154" s="58" t="s">
        <v>63</v>
      </c>
      <c r="C154" s="20"/>
      <c r="D154" s="58" t="s">
        <v>61</v>
      </c>
      <c r="E154" s="22" t="s">
        <v>76</v>
      </c>
      <c r="F154" s="29">
        <v>252.95</v>
      </c>
      <c r="G154" s="4">
        <f t="shared" si="14"/>
        <v>0</v>
      </c>
    </row>
    <row r="155" spans="1:7" ht="14.4" customHeight="1" x14ac:dyDescent="0.3">
      <c r="A155" s="86"/>
      <c r="B155" s="58" t="s">
        <v>64</v>
      </c>
      <c r="C155" s="20"/>
      <c r="D155" s="58" t="s">
        <v>61</v>
      </c>
      <c r="E155" s="22" t="s">
        <v>76</v>
      </c>
      <c r="F155" s="29">
        <v>298.48</v>
      </c>
      <c r="G155" s="4">
        <f t="shared" si="14"/>
        <v>0</v>
      </c>
    </row>
    <row r="156" spans="1:7" ht="14.4" customHeight="1" x14ac:dyDescent="0.3">
      <c r="A156" s="86"/>
      <c r="B156" s="13" t="s">
        <v>263</v>
      </c>
      <c r="C156" s="20"/>
      <c r="D156" s="13" t="s">
        <v>265</v>
      </c>
      <c r="E156" s="22" t="s">
        <v>85</v>
      </c>
      <c r="F156" s="29">
        <v>400</v>
      </c>
      <c r="G156" s="4">
        <f t="shared" si="14"/>
        <v>0</v>
      </c>
    </row>
    <row r="157" spans="1:7" ht="14.4" customHeight="1" x14ac:dyDescent="0.3">
      <c r="A157" s="86"/>
      <c r="B157" s="13" t="s">
        <v>264</v>
      </c>
      <c r="C157" s="20"/>
      <c r="D157" s="13" t="s">
        <v>265</v>
      </c>
      <c r="E157" s="22" t="s">
        <v>85</v>
      </c>
      <c r="F157" s="29">
        <v>800</v>
      </c>
      <c r="G157" s="4">
        <f t="shared" si="14"/>
        <v>0</v>
      </c>
    </row>
    <row r="158" spans="1:7" ht="14.4" customHeight="1" x14ac:dyDescent="0.3">
      <c r="A158" s="86"/>
      <c r="B158" s="58" t="s">
        <v>65</v>
      </c>
      <c r="C158" s="20"/>
      <c r="D158" s="13" t="s">
        <v>92</v>
      </c>
      <c r="E158" s="22" t="s">
        <v>76</v>
      </c>
      <c r="F158" s="29">
        <v>240.9</v>
      </c>
      <c r="G158" s="4">
        <f t="shared" si="14"/>
        <v>0</v>
      </c>
    </row>
    <row r="159" spans="1:7" x14ac:dyDescent="0.3">
      <c r="A159" s="86"/>
      <c r="B159" s="58" t="s">
        <v>66</v>
      </c>
      <c r="C159" s="20"/>
      <c r="D159" s="58" t="s">
        <v>67</v>
      </c>
      <c r="E159" s="22" t="s">
        <v>85</v>
      </c>
      <c r="F159" s="29">
        <v>156.82</v>
      </c>
      <c r="G159" s="4">
        <f t="shared" si="14"/>
        <v>0</v>
      </c>
    </row>
    <row r="160" spans="1:7" ht="20.399999999999999" customHeight="1" x14ac:dyDescent="0.3">
      <c r="A160" s="86"/>
      <c r="B160" s="58" t="s">
        <v>68</v>
      </c>
      <c r="C160" s="20"/>
      <c r="D160" s="13" t="s">
        <v>93</v>
      </c>
      <c r="E160" s="22" t="s">
        <v>76</v>
      </c>
      <c r="F160" s="29">
        <v>192.72</v>
      </c>
      <c r="G160" s="4">
        <f t="shared" si="14"/>
        <v>0</v>
      </c>
    </row>
    <row r="161" spans="1:7" ht="20.399999999999999" customHeight="1" x14ac:dyDescent="0.3">
      <c r="A161" s="86"/>
      <c r="B161" s="13" t="s">
        <v>176</v>
      </c>
      <c r="C161" s="20"/>
      <c r="D161" s="13" t="s">
        <v>177</v>
      </c>
      <c r="E161" s="22" t="s">
        <v>104</v>
      </c>
      <c r="F161" s="29">
        <v>300</v>
      </c>
      <c r="G161" s="4">
        <f t="shared" si="14"/>
        <v>0</v>
      </c>
    </row>
    <row r="162" spans="1:7" ht="14.4" customHeight="1" x14ac:dyDescent="0.3">
      <c r="B162" s="51"/>
      <c r="C162" s="51"/>
      <c r="D162" s="51"/>
      <c r="E162" s="51"/>
      <c r="F162" s="51"/>
      <c r="G162" s="51"/>
    </row>
    <row r="163" spans="1:7" ht="15.6" customHeight="1" x14ac:dyDescent="0.3">
      <c r="A163" s="99"/>
      <c r="B163" s="99"/>
      <c r="C163" s="99"/>
      <c r="D163" s="99"/>
      <c r="E163" s="99"/>
      <c r="F163" s="99"/>
      <c r="G163" s="100"/>
    </row>
    <row r="164" spans="1:7" ht="16.2" x14ac:dyDescent="0.3">
      <c r="A164" s="94" t="s">
        <v>172</v>
      </c>
      <c r="B164" s="45" t="s">
        <v>1</v>
      </c>
      <c r="C164" s="46" t="s">
        <v>138</v>
      </c>
      <c r="D164" s="45" t="s">
        <v>2</v>
      </c>
      <c r="E164" s="46" t="s">
        <v>4</v>
      </c>
      <c r="F164" s="46" t="s">
        <v>3</v>
      </c>
      <c r="G164" s="31" t="s">
        <v>69</v>
      </c>
    </row>
    <row r="165" spans="1:7" ht="14.4" customHeight="1" x14ac:dyDescent="0.3">
      <c r="A165" s="94"/>
      <c r="B165" s="68" t="s">
        <v>163</v>
      </c>
      <c r="C165" s="69"/>
      <c r="D165" s="13" t="s">
        <v>164</v>
      </c>
      <c r="E165" s="22" t="s">
        <v>76</v>
      </c>
      <c r="F165" s="25">
        <v>125</v>
      </c>
      <c r="G165" s="9">
        <f t="shared" ref="G165:G171" si="15">SUM(C165*F165)</f>
        <v>0</v>
      </c>
    </row>
    <row r="166" spans="1:7" x14ac:dyDescent="0.3">
      <c r="A166" s="94"/>
      <c r="B166" s="68" t="s">
        <v>165</v>
      </c>
      <c r="C166" s="69"/>
      <c r="D166" s="13" t="s">
        <v>174</v>
      </c>
      <c r="E166" s="22" t="s">
        <v>76</v>
      </c>
      <c r="F166" s="25">
        <v>250</v>
      </c>
      <c r="G166" s="9">
        <f t="shared" si="15"/>
        <v>0</v>
      </c>
    </row>
    <row r="167" spans="1:7" ht="24" x14ac:dyDescent="0.3">
      <c r="A167" s="94"/>
      <c r="B167" s="68" t="s">
        <v>167</v>
      </c>
      <c r="C167" s="69"/>
      <c r="D167" s="13" t="s">
        <v>164</v>
      </c>
      <c r="E167" s="22" t="s">
        <v>76</v>
      </c>
      <c r="F167" s="25">
        <v>125</v>
      </c>
      <c r="G167" s="9">
        <f t="shared" si="15"/>
        <v>0</v>
      </c>
    </row>
    <row r="168" spans="1:7" ht="24" x14ac:dyDescent="0.3">
      <c r="A168" s="94"/>
      <c r="B168" s="68" t="s">
        <v>168</v>
      </c>
      <c r="C168" s="69"/>
      <c r="D168" s="13" t="s">
        <v>164</v>
      </c>
      <c r="E168" s="22" t="s">
        <v>76</v>
      </c>
      <c r="F168" s="25">
        <v>125</v>
      </c>
      <c r="G168" s="9">
        <f t="shared" si="15"/>
        <v>0</v>
      </c>
    </row>
    <row r="169" spans="1:7" x14ac:dyDescent="0.3">
      <c r="A169" s="94"/>
      <c r="B169" s="68" t="s">
        <v>169</v>
      </c>
      <c r="C169" s="69"/>
      <c r="D169" s="13" t="s">
        <v>174</v>
      </c>
      <c r="E169" s="22" t="s">
        <v>76</v>
      </c>
      <c r="F169" s="25">
        <v>250</v>
      </c>
      <c r="G169" s="9">
        <f t="shared" si="15"/>
        <v>0</v>
      </c>
    </row>
    <row r="170" spans="1:7" x14ac:dyDescent="0.3">
      <c r="A170" s="94"/>
      <c r="B170" s="68" t="s">
        <v>170</v>
      </c>
      <c r="C170" s="69"/>
      <c r="D170" s="13" t="s">
        <v>164</v>
      </c>
      <c r="E170" s="22" t="s">
        <v>76</v>
      </c>
      <c r="F170" s="25">
        <v>125</v>
      </c>
      <c r="G170" s="9">
        <f t="shared" si="15"/>
        <v>0</v>
      </c>
    </row>
    <row r="171" spans="1:7" x14ac:dyDescent="0.3">
      <c r="A171" s="94"/>
      <c r="B171" s="68" t="s">
        <v>171</v>
      </c>
      <c r="C171" s="69"/>
      <c r="D171" s="13" t="s">
        <v>166</v>
      </c>
      <c r="E171" s="22" t="s">
        <v>76</v>
      </c>
      <c r="F171" s="25">
        <v>250</v>
      </c>
      <c r="G171" s="9">
        <f t="shared" si="15"/>
        <v>0</v>
      </c>
    </row>
    <row r="172" spans="1:7" ht="15.6" customHeight="1" x14ac:dyDescent="0.3">
      <c r="A172" s="95"/>
      <c r="B172" s="95"/>
      <c r="C172" s="95"/>
      <c r="D172" s="95"/>
      <c r="E172" s="95"/>
      <c r="F172" s="95"/>
      <c r="G172" s="96"/>
    </row>
    <row r="173" spans="1:7" ht="16.2" x14ac:dyDescent="0.3">
      <c r="A173" s="94" t="s">
        <v>175</v>
      </c>
      <c r="B173" s="45" t="s">
        <v>1</v>
      </c>
      <c r="C173" s="46" t="s">
        <v>138</v>
      </c>
      <c r="D173" s="45" t="s">
        <v>2</v>
      </c>
      <c r="E173" s="46" t="s">
        <v>4</v>
      </c>
      <c r="F173" s="46" t="s">
        <v>3</v>
      </c>
      <c r="G173" s="31" t="s">
        <v>69</v>
      </c>
    </row>
    <row r="174" spans="1:7" ht="23.1" customHeight="1" x14ac:dyDescent="0.3">
      <c r="A174" s="94"/>
      <c r="B174" s="68" t="s">
        <v>165</v>
      </c>
      <c r="C174" s="69"/>
      <c r="D174" s="13" t="s">
        <v>173</v>
      </c>
      <c r="E174" s="13" t="s">
        <v>144</v>
      </c>
      <c r="F174" s="25">
        <v>165</v>
      </c>
      <c r="G174" s="9">
        <f>SUM(C174*F174)</f>
        <v>0</v>
      </c>
    </row>
    <row r="175" spans="1:7" ht="24" x14ac:dyDescent="0.3">
      <c r="A175" s="94"/>
      <c r="B175" s="68" t="s">
        <v>168</v>
      </c>
      <c r="C175" s="69"/>
      <c r="D175" s="13" t="s">
        <v>173</v>
      </c>
      <c r="E175" s="13" t="s">
        <v>144</v>
      </c>
      <c r="F175" s="25">
        <v>165</v>
      </c>
      <c r="G175" s="9">
        <f>SUM(C175*F175)</f>
        <v>0</v>
      </c>
    </row>
    <row r="176" spans="1:7" ht="24" x14ac:dyDescent="0.3">
      <c r="A176" s="94"/>
      <c r="B176" s="68" t="s">
        <v>169</v>
      </c>
      <c r="C176" s="69"/>
      <c r="D176" s="13" t="s">
        <v>173</v>
      </c>
      <c r="E176" s="13" t="s">
        <v>144</v>
      </c>
      <c r="F176" s="25">
        <v>165</v>
      </c>
      <c r="G176" s="9">
        <f>SUM(C176*F176)</f>
        <v>0</v>
      </c>
    </row>
    <row r="177" spans="1:7" ht="24" x14ac:dyDescent="0.3">
      <c r="A177" s="94"/>
      <c r="B177" s="68" t="s">
        <v>171</v>
      </c>
      <c r="C177" s="69"/>
      <c r="D177" s="13" t="s">
        <v>173</v>
      </c>
      <c r="E177" s="13" t="s">
        <v>144</v>
      </c>
      <c r="F177" s="25">
        <v>165</v>
      </c>
      <c r="G177" s="9">
        <f>SUM(C177*F177)</f>
        <v>0</v>
      </c>
    </row>
    <row r="178" spans="1:7" x14ac:dyDescent="0.3">
      <c r="A178" s="97"/>
      <c r="B178" s="97"/>
      <c r="C178" s="97"/>
      <c r="D178" s="97"/>
      <c r="E178" s="97"/>
      <c r="F178" s="97"/>
      <c r="G178" s="96"/>
    </row>
    <row r="179" spans="1:7" ht="16.2" x14ac:dyDescent="0.3">
      <c r="B179" s="81" t="s">
        <v>242</v>
      </c>
      <c r="F179" s="24" t="s">
        <v>69</v>
      </c>
      <c r="G179" s="11">
        <f>SUM(G4:G177)</f>
        <v>0</v>
      </c>
    </row>
    <row r="180" spans="1:7" ht="16.2" x14ac:dyDescent="0.3">
      <c r="F180" s="24" t="s">
        <v>70</v>
      </c>
      <c r="G180" s="10">
        <f>SUM(G179*10/100)</f>
        <v>0</v>
      </c>
    </row>
    <row r="181" spans="1:7" ht="16.2" x14ac:dyDescent="0.3">
      <c r="B181" s="82" t="s">
        <v>247</v>
      </c>
      <c r="D181" s="82" t="s">
        <v>248</v>
      </c>
      <c r="F181" s="24" t="s">
        <v>71</v>
      </c>
      <c r="G181" s="10">
        <f>SUM(G179:G180)</f>
        <v>0</v>
      </c>
    </row>
    <row r="186" spans="1:7" ht="16.95" customHeight="1" x14ac:dyDescent="0.3"/>
    <row r="187" spans="1:7" ht="18.45" customHeight="1" x14ac:dyDescent="0.3"/>
    <row r="194" spans="1:7" x14ac:dyDescent="0.3">
      <c r="A194" s="3"/>
      <c r="B194" s="3"/>
      <c r="C194" s="3"/>
      <c r="D194" s="3"/>
      <c r="E194" s="3"/>
      <c r="F194" s="3"/>
      <c r="G194" s="3"/>
    </row>
    <row r="195" spans="1:7" x14ac:dyDescent="0.3">
      <c r="A195" s="1"/>
      <c r="B195" s="1"/>
      <c r="C195" s="1"/>
      <c r="D195" s="1"/>
      <c r="E195" s="12"/>
      <c r="F195" s="1"/>
      <c r="G195" s="1"/>
    </row>
  </sheetData>
  <sheetProtection algorithmName="SHA-512" hashValue="REZyRRYAdWnkW9e4wdLnOf1zMfFjMkOf/0DS13xHWbN/rIJcUv/sJlfeHYbNFlqWE6ma5SsR2l1up3FA2LwZ+A==" saltValue="woaQuxtzAJkGsZ6pbhFHZA==" spinCount="100000" sheet="1" insertRows="0" deleteRows="0"/>
  <mergeCells count="16">
    <mergeCell ref="A164:A171"/>
    <mergeCell ref="A172:G172"/>
    <mergeCell ref="A173:A177"/>
    <mergeCell ref="A178:G178"/>
    <mergeCell ref="A151:A161"/>
    <mergeCell ref="A163:G163"/>
    <mergeCell ref="A3:A18"/>
    <mergeCell ref="A84:A108"/>
    <mergeCell ref="A47:A55"/>
    <mergeCell ref="A30:A45"/>
    <mergeCell ref="A20:A28"/>
    <mergeCell ref="A135:A149"/>
    <mergeCell ref="A57:A72"/>
    <mergeCell ref="A124:A133"/>
    <mergeCell ref="A110:A122"/>
    <mergeCell ref="A74:A82"/>
  </mergeCells>
  <pageMargins left="0.25" right="0.25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D0F6-3ADA-4FA8-A10E-C310B0454733}">
  <dimension ref="A1:D51"/>
  <sheetViews>
    <sheetView workbookViewId="0">
      <selection activeCell="B15" sqref="B15"/>
    </sheetView>
  </sheetViews>
  <sheetFormatPr defaultRowHeight="14.4" x14ac:dyDescent="0.3"/>
  <cols>
    <col min="1" max="1" width="32.5546875" customWidth="1"/>
    <col min="2" max="2" width="11.109375" customWidth="1"/>
    <col min="3" max="3" width="13.5546875" customWidth="1"/>
    <col min="4" max="4" width="15.109375" customWidth="1"/>
  </cols>
  <sheetData>
    <row r="1" spans="1:4" ht="119.25" customHeight="1" x14ac:dyDescent="0.35">
      <c r="A1" s="70" t="s">
        <v>187</v>
      </c>
    </row>
    <row r="2" spans="1:4" x14ac:dyDescent="0.3">
      <c r="A2" s="71" t="s">
        <v>188</v>
      </c>
      <c r="B2" s="72" t="s">
        <v>189</v>
      </c>
      <c r="C2" s="72" t="s">
        <v>190</v>
      </c>
      <c r="D2" s="72" t="s">
        <v>191</v>
      </c>
    </row>
    <row r="3" spans="1:4" x14ac:dyDescent="0.3">
      <c r="A3" s="73" t="s">
        <v>192</v>
      </c>
      <c r="B3" s="74">
        <v>2216</v>
      </c>
      <c r="C3" s="75" t="s">
        <v>193</v>
      </c>
      <c r="D3" s="76"/>
    </row>
    <row r="4" spans="1:4" x14ac:dyDescent="0.3">
      <c r="A4" s="77" t="s">
        <v>194</v>
      </c>
      <c r="B4" s="74">
        <v>2148</v>
      </c>
      <c r="C4" s="75" t="s">
        <v>193</v>
      </c>
      <c r="D4" s="76"/>
    </row>
    <row r="5" spans="1:4" x14ac:dyDescent="0.3">
      <c r="A5" s="77" t="s">
        <v>195</v>
      </c>
      <c r="B5" s="74">
        <v>2780</v>
      </c>
      <c r="C5" s="76">
        <v>113.64</v>
      </c>
      <c r="D5" s="76"/>
    </row>
    <row r="6" spans="1:4" x14ac:dyDescent="0.3">
      <c r="A6" s="78" t="s">
        <v>196</v>
      </c>
      <c r="B6" s="74">
        <v>2134</v>
      </c>
      <c r="C6" s="76" t="s">
        <v>193</v>
      </c>
      <c r="D6" s="76"/>
    </row>
    <row r="7" spans="1:4" x14ac:dyDescent="0.3">
      <c r="A7" s="78" t="s">
        <v>197</v>
      </c>
      <c r="B7" s="74">
        <v>2570</v>
      </c>
      <c r="C7" s="76" t="s">
        <v>193</v>
      </c>
      <c r="D7" s="76"/>
    </row>
    <row r="8" spans="1:4" x14ac:dyDescent="0.3">
      <c r="A8" s="78" t="s">
        <v>198</v>
      </c>
      <c r="B8" s="74">
        <v>2560</v>
      </c>
      <c r="C8" s="76" t="s">
        <v>193</v>
      </c>
      <c r="D8" s="76"/>
    </row>
    <row r="9" spans="1:4" x14ac:dyDescent="0.3">
      <c r="A9" s="78" t="s">
        <v>199</v>
      </c>
      <c r="B9" s="74">
        <v>2047</v>
      </c>
      <c r="C9" s="76" t="s">
        <v>193</v>
      </c>
      <c r="D9" s="76"/>
    </row>
    <row r="10" spans="1:4" x14ac:dyDescent="0.3">
      <c r="A10" s="78" t="s">
        <v>200</v>
      </c>
      <c r="B10" s="74">
        <v>2212</v>
      </c>
      <c r="C10" s="76" t="s">
        <v>193</v>
      </c>
      <c r="D10" s="76"/>
    </row>
    <row r="11" spans="1:4" x14ac:dyDescent="0.3">
      <c r="A11" s="78" t="s">
        <v>201</v>
      </c>
      <c r="B11" s="74">
        <v>2259</v>
      </c>
      <c r="C11" s="76">
        <v>136.36000000000001</v>
      </c>
      <c r="D11" s="76"/>
    </row>
    <row r="12" spans="1:4" x14ac:dyDescent="0.3">
      <c r="A12" s="78" t="s">
        <v>202</v>
      </c>
      <c r="B12" s="74">
        <v>2325</v>
      </c>
      <c r="C12" s="76">
        <v>136.36000000000001</v>
      </c>
      <c r="D12" s="76"/>
    </row>
    <row r="13" spans="1:4" x14ac:dyDescent="0.3">
      <c r="A13" s="78" t="s">
        <v>203</v>
      </c>
      <c r="B13" s="74">
        <v>2160</v>
      </c>
      <c r="C13" s="76" t="s">
        <v>193</v>
      </c>
      <c r="D13" s="76"/>
    </row>
    <row r="14" spans="1:4" x14ac:dyDescent="0.3">
      <c r="A14" s="78" t="s">
        <v>204</v>
      </c>
      <c r="B14" s="74">
        <v>2420</v>
      </c>
      <c r="C14" s="76">
        <v>159.09</v>
      </c>
      <c r="D14" s="76">
        <v>170</v>
      </c>
    </row>
    <row r="15" spans="1:4" x14ac:dyDescent="0.3">
      <c r="A15" s="78" t="s">
        <v>205</v>
      </c>
      <c r="B15" s="74">
        <v>2537</v>
      </c>
      <c r="C15" s="76">
        <v>300</v>
      </c>
      <c r="D15" s="76">
        <v>180</v>
      </c>
    </row>
    <row r="16" spans="1:4" x14ac:dyDescent="0.3">
      <c r="A16" s="78" t="s">
        <v>206</v>
      </c>
      <c r="B16" s="74">
        <v>2165</v>
      </c>
      <c r="C16" s="76" t="s">
        <v>193</v>
      </c>
      <c r="D16" s="76"/>
    </row>
    <row r="17" spans="1:4" x14ac:dyDescent="0.3">
      <c r="A17" s="78" t="s">
        <v>207</v>
      </c>
      <c r="B17" s="74">
        <v>2218</v>
      </c>
      <c r="C17" s="76" t="s">
        <v>193</v>
      </c>
      <c r="D17" s="76"/>
    </row>
    <row r="18" spans="1:4" x14ac:dyDescent="0.3">
      <c r="A18" s="78" t="s">
        <v>208</v>
      </c>
      <c r="B18" s="74">
        <v>2756</v>
      </c>
      <c r="C18" s="76">
        <v>113.64</v>
      </c>
      <c r="D18" s="76"/>
    </row>
    <row r="19" spans="1:4" x14ac:dyDescent="0.3">
      <c r="A19" s="78" t="s">
        <v>209</v>
      </c>
      <c r="B19" s="74">
        <v>2153</v>
      </c>
      <c r="C19" s="76" t="s">
        <v>193</v>
      </c>
      <c r="D19" s="76"/>
    </row>
    <row r="20" spans="1:4" x14ac:dyDescent="0.3">
      <c r="A20" s="78" t="s">
        <v>210</v>
      </c>
      <c r="B20" s="74">
        <v>2077</v>
      </c>
      <c r="C20" s="76" t="s">
        <v>193</v>
      </c>
      <c r="D20" s="76"/>
    </row>
    <row r="21" spans="1:4" x14ac:dyDescent="0.3">
      <c r="A21" s="78" t="s">
        <v>211</v>
      </c>
      <c r="B21" s="74">
        <v>2110</v>
      </c>
      <c r="C21" s="76" t="s">
        <v>193</v>
      </c>
      <c r="D21" s="76"/>
    </row>
    <row r="22" spans="1:4" x14ac:dyDescent="0.3">
      <c r="A22" s="78" t="s">
        <v>212</v>
      </c>
      <c r="B22" s="74">
        <v>2533</v>
      </c>
      <c r="C22" s="76">
        <v>136.36000000000001</v>
      </c>
      <c r="D22" s="76"/>
    </row>
    <row r="23" spans="1:4" x14ac:dyDescent="0.3">
      <c r="A23" s="78" t="s">
        <v>213</v>
      </c>
      <c r="B23" s="74">
        <v>2072</v>
      </c>
      <c r="C23" s="76" t="s">
        <v>193</v>
      </c>
      <c r="D23" s="76"/>
    </row>
    <row r="24" spans="1:4" x14ac:dyDescent="0.3">
      <c r="A24" s="78" t="s">
        <v>214</v>
      </c>
      <c r="B24" s="74">
        <v>2310</v>
      </c>
      <c r="C24" s="76">
        <v>136.36000000000001</v>
      </c>
      <c r="D24" s="76"/>
    </row>
    <row r="25" spans="1:4" x14ac:dyDescent="0.3">
      <c r="A25" s="78" t="s">
        <v>215</v>
      </c>
      <c r="B25" s="74">
        <v>2066</v>
      </c>
      <c r="C25" s="76" t="s">
        <v>193</v>
      </c>
      <c r="D25" s="76"/>
    </row>
    <row r="26" spans="1:4" x14ac:dyDescent="0.3">
      <c r="A26" s="78" t="s">
        <v>216</v>
      </c>
      <c r="B26" s="75">
        <v>2170</v>
      </c>
      <c r="C26" s="76" t="s">
        <v>193</v>
      </c>
      <c r="D26" s="76"/>
    </row>
    <row r="27" spans="1:4" x14ac:dyDescent="0.3">
      <c r="A27" s="78" t="s">
        <v>217</v>
      </c>
      <c r="B27" s="75">
        <v>2320</v>
      </c>
      <c r="C27" s="76">
        <v>136.36000000000001</v>
      </c>
      <c r="D27" s="76"/>
    </row>
    <row r="28" spans="1:4" x14ac:dyDescent="0.3">
      <c r="A28" s="78" t="s">
        <v>218</v>
      </c>
      <c r="B28" s="75">
        <v>2430</v>
      </c>
      <c r="C28" s="76">
        <v>300</v>
      </c>
      <c r="D28" s="76">
        <v>180</v>
      </c>
    </row>
    <row r="29" spans="1:4" x14ac:dyDescent="0.3">
      <c r="A29" s="78" t="s">
        <v>219</v>
      </c>
      <c r="B29" s="75">
        <v>2333</v>
      </c>
      <c r="C29" s="76">
        <v>159.09</v>
      </c>
      <c r="D29" s="76">
        <v>150</v>
      </c>
    </row>
    <row r="30" spans="1:4" x14ac:dyDescent="0.3">
      <c r="A30" s="78" t="s">
        <v>220</v>
      </c>
      <c r="B30" s="75">
        <v>2300</v>
      </c>
      <c r="C30" s="76">
        <v>136.36000000000001</v>
      </c>
      <c r="D30" s="76"/>
    </row>
    <row r="31" spans="1:4" x14ac:dyDescent="0.3">
      <c r="A31" s="78" t="s">
        <v>221</v>
      </c>
      <c r="B31" s="75">
        <v>2101</v>
      </c>
      <c r="C31" s="76" t="s">
        <v>193</v>
      </c>
      <c r="D31" s="76"/>
    </row>
    <row r="32" spans="1:4" x14ac:dyDescent="0.3">
      <c r="A32" s="78" t="s">
        <v>222</v>
      </c>
      <c r="B32" s="75">
        <v>2124</v>
      </c>
      <c r="C32" s="76" t="s">
        <v>193</v>
      </c>
      <c r="D32" s="76"/>
    </row>
    <row r="33" spans="1:4" x14ac:dyDescent="0.3">
      <c r="A33" s="78" t="s">
        <v>223</v>
      </c>
      <c r="B33" s="75">
        <v>2751</v>
      </c>
      <c r="C33" s="76" t="s">
        <v>193</v>
      </c>
      <c r="D33" s="76"/>
    </row>
    <row r="34" spans="1:4" x14ac:dyDescent="0.3">
      <c r="A34" s="78" t="s">
        <v>224</v>
      </c>
      <c r="B34" s="75">
        <v>2324</v>
      </c>
      <c r="C34" s="76">
        <v>159.09</v>
      </c>
      <c r="D34" s="76">
        <v>170</v>
      </c>
    </row>
    <row r="35" spans="1:4" x14ac:dyDescent="0.3">
      <c r="A35" s="78" t="s">
        <v>225</v>
      </c>
      <c r="B35" s="75">
        <v>2444</v>
      </c>
      <c r="C35" s="76">
        <v>300</v>
      </c>
      <c r="D35" s="76">
        <v>180</v>
      </c>
    </row>
    <row r="36" spans="1:4" x14ac:dyDescent="0.3">
      <c r="A36" s="78" t="s">
        <v>226</v>
      </c>
      <c r="B36" s="75">
        <v>2031</v>
      </c>
      <c r="C36" s="76" t="s">
        <v>193</v>
      </c>
      <c r="D36" s="76"/>
    </row>
    <row r="37" spans="1:4" x14ac:dyDescent="0.3">
      <c r="A37" s="78" t="s">
        <v>227</v>
      </c>
      <c r="B37" s="75">
        <v>2112</v>
      </c>
      <c r="C37" s="76" t="s">
        <v>193</v>
      </c>
      <c r="D37" s="76"/>
    </row>
    <row r="38" spans="1:4" x14ac:dyDescent="0.3">
      <c r="A38" s="78" t="s">
        <v>228</v>
      </c>
      <c r="B38" s="75">
        <v>2529</v>
      </c>
      <c r="C38" s="76">
        <v>136.36000000000001</v>
      </c>
      <c r="D38" s="76"/>
    </row>
    <row r="39" spans="1:4" x14ac:dyDescent="0.3">
      <c r="A39" s="77" t="s">
        <v>229</v>
      </c>
      <c r="B39" s="75">
        <v>2541</v>
      </c>
      <c r="C39" s="76">
        <v>159.09</v>
      </c>
      <c r="D39" s="76">
        <v>160</v>
      </c>
    </row>
    <row r="40" spans="1:4" x14ac:dyDescent="0.3">
      <c r="A40" s="78" t="s">
        <v>230</v>
      </c>
      <c r="B40" s="75">
        <v>2330</v>
      </c>
      <c r="C40" s="76">
        <v>159.09</v>
      </c>
      <c r="D40" s="76"/>
    </row>
    <row r="41" spans="1:4" x14ac:dyDescent="0.3">
      <c r="A41" s="78" t="s">
        <v>231</v>
      </c>
      <c r="B41" s="75">
        <v>2135</v>
      </c>
      <c r="C41" s="76" t="s">
        <v>193</v>
      </c>
      <c r="D41" s="76"/>
    </row>
    <row r="42" spans="1:4" x14ac:dyDescent="0.3">
      <c r="A42" s="78" t="s">
        <v>232</v>
      </c>
      <c r="B42" s="75">
        <v>2232</v>
      </c>
      <c r="C42" s="76" t="s">
        <v>193</v>
      </c>
      <c r="D42" s="76"/>
    </row>
    <row r="43" spans="1:4" x14ac:dyDescent="0.3">
      <c r="A43" s="78" t="s">
        <v>233</v>
      </c>
      <c r="B43" s="75">
        <v>2337</v>
      </c>
      <c r="C43" s="76">
        <v>181.82</v>
      </c>
      <c r="D43" s="76">
        <v>160</v>
      </c>
    </row>
    <row r="44" spans="1:4" x14ac:dyDescent="0.3">
      <c r="A44" s="78" t="s">
        <v>234</v>
      </c>
      <c r="B44" s="75">
        <v>2024</v>
      </c>
      <c r="C44" s="76" t="s">
        <v>193</v>
      </c>
      <c r="D44" s="76"/>
    </row>
    <row r="45" spans="1:4" x14ac:dyDescent="0.3">
      <c r="A45" s="78" t="s">
        <v>235</v>
      </c>
      <c r="B45" s="75">
        <v>2057</v>
      </c>
      <c r="C45" s="76" t="s">
        <v>193</v>
      </c>
      <c r="D45" s="76"/>
    </row>
    <row r="46" spans="1:4" x14ac:dyDescent="0.3">
      <c r="A46" s="78" t="s">
        <v>236</v>
      </c>
      <c r="B46" s="75">
        <v>2577</v>
      </c>
      <c r="C46" s="76">
        <v>113.64</v>
      </c>
      <c r="D46" s="76"/>
    </row>
    <row r="47" spans="1:4" x14ac:dyDescent="0.3">
      <c r="A47" s="78" t="s">
        <v>237</v>
      </c>
      <c r="B47" s="75">
        <v>2571</v>
      </c>
      <c r="C47" s="76">
        <v>113.64</v>
      </c>
      <c r="D47" s="76"/>
    </row>
    <row r="48" spans="1:4" x14ac:dyDescent="0.3">
      <c r="A48" s="78" t="s">
        <v>238</v>
      </c>
      <c r="B48" s="75">
        <v>2500</v>
      </c>
      <c r="C48" s="76">
        <v>113.64</v>
      </c>
      <c r="D48" s="76"/>
    </row>
    <row r="49" spans="1:4" x14ac:dyDescent="0.3">
      <c r="A49" s="78" t="s">
        <v>239</v>
      </c>
      <c r="B49" s="75"/>
      <c r="C49" s="76">
        <v>159.09</v>
      </c>
      <c r="D49" s="76">
        <v>160</v>
      </c>
    </row>
    <row r="50" spans="1:4" x14ac:dyDescent="0.3">
      <c r="A50" s="79" t="s">
        <v>240</v>
      </c>
      <c r="B50" s="79"/>
      <c r="C50" s="76">
        <v>159.09</v>
      </c>
      <c r="D50" s="76">
        <v>180</v>
      </c>
    </row>
    <row r="51" spans="1:4" x14ac:dyDescent="0.3">
      <c r="A51" s="80" t="s">
        <v>241</v>
      </c>
      <c r="B51" s="79"/>
      <c r="C51" s="76">
        <v>159.09</v>
      </c>
      <c r="D51" s="76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TRAVEL 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 saddi</dc:creator>
  <cp:keywords/>
  <dc:description/>
  <cp:lastModifiedBy>Emil Saddi</cp:lastModifiedBy>
  <cp:revision/>
  <cp:lastPrinted>2026-02-10T00:46:05Z</cp:lastPrinted>
  <dcterms:created xsi:type="dcterms:W3CDTF">2023-06-04T11:15:50Z</dcterms:created>
  <dcterms:modified xsi:type="dcterms:W3CDTF">2026-02-12T02:23:50Z</dcterms:modified>
  <cp:category/>
  <cp:contentStatus/>
</cp:coreProperties>
</file>